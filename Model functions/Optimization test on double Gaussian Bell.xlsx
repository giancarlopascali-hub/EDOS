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72903_ad_unsw_edu_au/Documents/Experimental/BOXVIA/Model functions/"/>
    </mc:Choice>
  </mc:AlternateContent>
  <xr:revisionPtr revIDLastSave="8" documentId="13_ncr:1_{91F0AA94-2466-4F5E-A11F-943A914A2D90}" xr6:coauthVersionLast="47" xr6:coauthVersionMax="47" xr10:uidLastSave="{71E67887-EE81-41EC-A6C3-489E2D76BD77}"/>
  <bookViews>
    <workbookView xWindow="14235" yWindow="-16320" windowWidth="29040" windowHeight="15720" xr2:uid="{00000000-000D-0000-FFFF-FFFF00000000}"/>
  </bookViews>
  <sheets>
    <sheet name="Gauss Bell random points real m" sheetId="1" r:id="rId1"/>
    <sheet name="Graphs from BOXVIA" sheetId="2" r:id="rId2"/>
    <sheet name="Graphs from data" sheetId="3" r:id="rId3"/>
    <sheet name="BTW, the function" sheetId="4" r:id="rId4"/>
  </sheets>
  <definedNames>
    <definedName name="_xlcn.WorksheetConnection_Table11" hidden="1">Table1[]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le1" name="Table1" connection="WorksheetConnection_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4" l="1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C10" i="4" l="1"/>
  <c r="C14" i="4"/>
  <c r="C16" i="4"/>
  <c r="C18" i="4"/>
  <c r="C20" i="4"/>
  <c r="C22" i="4"/>
  <c r="C24" i="4"/>
  <c r="C26" i="4"/>
  <c r="C13" i="4"/>
  <c r="C17" i="4"/>
  <c r="C21" i="4"/>
  <c r="C7" i="4"/>
  <c r="C25" i="4"/>
  <c r="C9" i="4"/>
  <c r="C11" i="4"/>
  <c r="C8" i="4"/>
  <c r="C15" i="4"/>
  <c r="C12" i="4"/>
  <c r="C19" i="4"/>
  <c r="C23" i="4"/>
  <c r="H8" i="1"/>
  <c r="H7" i="1"/>
  <c r="H6" i="1"/>
  <c r="H5" i="1"/>
  <c r="H4" i="1"/>
  <c r="H3" i="1"/>
  <c r="H2" i="1"/>
  <c r="G8" i="1"/>
  <c r="G7" i="1"/>
  <c r="G6" i="1"/>
  <c r="G5" i="1"/>
  <c r="G4" i="1"/>
  <c r="G3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Table11"/>
        </x15:connection>
      </ext>
    </extLst>
  </connection>
</connections>
</file>

<file path=xl/sharedStrings.xml><?xml version="1.0" encoding="utf-8"?>
<sst xmlns="http://schemas.openxmlformats.org/spreadsheetml/2006/main" count="38" uniqueCount="25">
  <si>
    <t>Time (min)</t>
  </si>
  <si>
    <t>Temperature (C)</t>
  </si>
  <si>
    <t>Yield (%)</t>
  </si>
  <si>
    <t>Runs</t>
  </si>
  <si>
    <t>Training (6)</t>
  </si>
  <si>
    <t>1 (3)</t>
  </si>
  <si>
    <t>2 (3)</t>
  </si>
  <si>
    <t>3 (3)</t>
  </si>
  <si>
    <t>4 (3)</t>
  </si>
  <si>
    <t>5(3)</t>
  </si>
  <si>
    <t>6 (3)</t>
  </si>
  <si>
    <t>Average Yield</t>
  </si>
  <si>
    <t>Jitter 0.2</t>
  </si>
  <si>
    <t>Jitter 0.01</t>
  </si>
  <si>
    <t>random sampling</t>
  </si>
  <si>
    <t>runs</t>
  </si>
  <si>
    <t>notes</t>
  </si>
  <si>
    <t>STDEV</t>
  </si>
  <si>
    <t>60*e^{(-((x-40)^2/(2*25^2)+(y-50)^2/(2*15^2)))}+85*e^{(-((x-15)^2/(2*15^2)+(y-80)^2/(2*10^2)))}</t>
  </si>
  <si>
    <t>Fake maximum</t>
  </si>
  <si>
    <t>40min, 50C</t>
  </si>
  <si>
    <t>real maximum</t>
  </si>
  <si>
    <t>15min, 80C</t>
  </si>
  <si>
    <t>Few point random generated</t>
  </si>
  <si>
    <t>Yield 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</si>
</sst>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4" borderId="0" xfId="0" applyFill="1"/>
    <xf numFmtId="0" fontId="16" fillId="0" borderId="0" xfId="0" applyFont="1"/>
    <xf numFmtId="0" fontId="18" fillId="0" borderId="0" xfId="0" applyFont="1"/>
    <xf numFmtId="0" fontId="11" fillId="6" borderId="4" xfId="11"/>
    <xf numFmtId="0" fontId="9" fillId="5" borderId="4" xfId="9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'Gauss Bell random points real m'!$G$1</c:f>
              <c:strCache>
                <c:ptCount val="1"/>
                <c:pt idx="0">
                  <c:v>Average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'Gauss Bell random points real m'!$H$2:$H$8</c:f>
                <c:numCache>
                  <c:formatCode>General</c:formatCode>
                  <c:ptCount val="7"/>
                  <c:pt idx="0">
                    <c:v>20.103813557730454</c:v>
                  </c:pt>
                  <c:pt idx="1">
                    <c:v>5.1316014394468841</c:v>
                  </c:pt>
                  <c:pt idx="2">
                    <c:v>13.27905619136139</c:v>
                  </c:pt>
                  <c:pt idx="3">
                    <c:v>30.241197066253843</c:v>
                  </c:pt>
                  <c:pt idx="4">
                    <c:v>33.531080109852304</c:v>
                  </c:pt>
                  <c:pt idx="5">
                    <c:v>3.214550253664318</c:v>
                  </c:pt>
                  <c:pt idx="6">
                    <c:v>0.57735026918962573</c:v>
                  </c:pt>
                </c:numCache>
              </c:numRef>
            </c:plus>
            <c:minus>
              <c:numRef>
                <c:f>'Gauss Bell random points real m'!$H$2:$H$8</c:f>
                <c:numCache>
                  <c:formatCode>General</c:formatCode>
                  <c:ptCount val="7"/>
                  <c:pt idx="0">
                    <c:v>20.103813557730454</c:v>
                  </c:pt>
                  <c:pt idx="1">
                    <c:v>5.1316014394468841</c:v>
                  </c:pt>
                  <c:pt idx="2">
                    <c:v>13.27905619136139</c:v>
                  </c:pt>
                  <c:pt idx="3">
                    <c:v>30.241197066253843</c:v>
                  </c:pt>
                  <c:pt idx="4">
                    <c:v>33.531080109852304</c:v>
                  </c:pt>
                  <c:pt idx="5">
                    <c:v>3.214550253664318</c:v>
                  </c:pt>
                  <c:pt idx="6">
                    <c:v>0.57735026918962573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'Gauss Bell random points real m'!$F$2:$F$8</c:f>
              <c:strCache>
                <c:ptCount val="7"/>
                <c:pt idx="0">
                  <c:v>Training (6)</c:v>
                </c:pt>
                <c:pt idx="1">
                  <c:v>1 (3)</c:v>
                </c:pt>
                <c:pt idx="2">
                  <c:v>2 (3)</c:v>
                </c:pt>
                <c:pt idx="3">
                  <c:v>3 (3)</c:v>
                </c:pt>
                <c:pt idx="4">
                  <c:v>4 (3)</c:v>
                </c:pt>
                <c:pt idx="5">
                  <c:v>5(3)</c:v>
                </c:pt>
                <c:pt idx="6">
                  <c:v>6 (3)</c:v>
                </c:pt>
              </c:strCache>
            </c:strRef>
          </c:cat>
          <c:val>
            <c:numRef>
              <c:f>'Gauss Bell random points real m'!$G$2:$G$8</c:f>
              <c:numCache>
                <c:formatCode>General</c:formatCode>
                <c:ptCount val="7"/>
                <c:pt idx="0">
                  <c:v>26.170188478800004</c:v>
                </c:pt>
                <c:pt idx="1">
                  <c:v>55.666666666666664</c:v>
                </c:pt>
                <c:pt idx="2">
                  <c:v>33.333333333333336</c:v>
                </c:pt>
                <c:pt idx="3">
                  <c:v>35.1</c:v>
                </c:pt>
                <c:pt idx="4">
                  <c:v>53.666666666666664</c:v>
                </c:pt>
                <c:pt idx="5">
                  <c:v>85.333333333333329</c:v>
                </c:pt>
                <c:pt idx="6">
                  <c:v>89.666666666666671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60-4059-9272-7295E0BEF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449616"/>
        <c:axId val="1006277248"/>
      </c:lineChart>
      <c:catAx>
        <c:axId val="53244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Campaigns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277248"/>
        <c:crosses val="autoZero"/>
        <c:auto val="1"/>
        <c:lblAlgn val="ctr"/>
        <c:lblOffset val="100"/>
        <c:noMultiLvlLbl val="0"/>
      </c:catAx>
      <c:valAx>
        <c:axId val="100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Yield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44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Parallel coordinates plot</a:t>
            </a:r>
          </a:p>
          <a:p>
            <a:pPr>
              <a:defRPr/>
            </a:pPr>
            <a:r>
              <a:rPr lang="en-AU"/>
              <a:t>(obtained from re-arranged table on the right)</a:t>
            </a:r>
          </a:p>
        </c:rich>
      </c:tx>
      <c:layout>
        <c:manualLayout>
          <c:xMode val="edge"/>
          <c:yMode val="edge"/>
          <c:x val="0.14436913996057982"/>
          <c:y val="2.75116529954279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229468032953733E-2"/>
          <c:y val="0.18935877733138823"/>
          <c:w val="0.8555019339894675"/>
          <c:h val="0.7194665524525601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tint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data'!$I$3:$K$3</c:f>
              <c:numCache>
                <c:formatCode>General</c:formatCode>
                <c:ptCount val="3"/>
                <c:pt idx="0">
                  <c:v>60</c:v>
                </c:pt>
                <c:pt idx="1">
                  <c:v>100</c:v>
                </c:pt>
                <c:pt idx="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7-4BA1-866E-37EC04CFAC19}"/>
            </c:ext>
          </c:extLst>
        </c:ser>
        <c:ser>
          <c:idx val="1"/>
          <c:order val="1"/>
          <c:spPr>
            <a:ln w="28575" cap="rnd">
              <a:solidFill>
                <a:schemeClr val="accent2">
                  <a:tint val="4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data'!$I$4:$K$4</c:f>
              <c:numCache>
                <c:formatCode>General</c:formatCode>
                <c:ptCount val="3"/>
                <c:pt idx="0">
                  <c:v>8.3673958600000002</c:v>
                </c:pt>
                <c:pt idx="1">
                  <c:v>103.63653840000001</c:v>
                </c:pt>
                <c:pt idx="2">
                  <c:v>4.7634515239999997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07-4BA1-866E-37EC04CFAC19}"/>
            </c:ext>
          </c:extLst>
        </c:ser>
        <c:ser>
          <c:idx val="2"/>
          <c:order val="2"/>
          <c:spPr>
            <a:ln w="28575" cap="rnd">
              <a:solidFill>
                <a:schemeClr val="accent2">
                  <a:tint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data'!$I$5:$K$5</c:f>
              <c:numCache>
                <c:formatCode>General</c:formatCode>
                <c:ptCount val="3"/>
                <c:pt idx="0">
                  <c:v>7.0571616290000003</c:v>
                </c:pt>
                <c:pt idx="1">
                  <c:v>99.866003269999993</c:v>
                </c:pt>
                <c:pt idx="2">
                  <c:v>10.369643379999999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07-4BA1-866E-37EC04CFAC19}"/>
            </c:ext>
          </c:extLst>
        </c:ser>
        <c:ser>
          <c:idx val="3"/>
          <c:order val="3"/>
          <c:spPr>
            <a:ln w="28575" cap="rnd">
              <a:solidFill>
                <a:schemeClr val="accent2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data'!$I$6:$K$6</c:f>
              <c:numCache>
                <c:formatCode>General</c:formatCode>
                <c:ptCount val="3"/>
                <c:pt idx="0">
                  <c:v>60</c:v>
                </c:pt>
                <c:pt idx="1">
                  <c:v>70</c:v>
                </c:pt>
                <c:pt idx="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07-4BA1-866E-37EC04CFAC19}"/>
            </c:ext>
          </c:extLst>
        </c:ser>
        <c:ser>
          <c:idx val="4"/>
          <c:order val="4"/>
          <c:spPr>
            <a:ln w="28575" cap="rnd">
              <a:solidFill>
                <a:schemeClr val="accent2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data'!$I$7:$K$7</c:f>
              <c:numCache>
                <c:formatCode>General</c:formatCode>
                <c:ptCount val="3"/>
                <c:pt idx="0">
                  <c:v>53</c:v>
                </c:pt>
                <c:pt idx="1">
                  <c:v>30</c:v>
                </c:pt>
                <c:pt idx="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07-4BA1-866E-37EC04CFAC19}"/>
            </c:ext>
          </c:extLst>
        </c:ser>
        <c:ser>
          <c:idx val="5"/>
          <c:order val="5"/>
          <c:spPr>
            <a:ln w="285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data'!$I$8:$K$8</c:f>
              <c:numCache>
                <c:formatCode>General</c:formatCode>
                <c:ptCount val="3"/>
                <c:pt idx="0">
                  <c:v>7.9036121829999999</c:v>
                </c:pt>
                <c:pt idx="1">
                  <c:v>44.355455370000001</c:v>
                </c:pt>
                <c:pt idx="2">
                  <c:v>24.65021814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07-4BA1-866E-37EC04CFAC19}"/>
            </c:ext>
          </c:extLst>
        </c:ser>
        <c:ser>
          <c:idx val="6"/>
          <c:order val="6"/>
          <c:spPr>
            <a:ln w="28575" cap="rnd">
              <a:solidFill>
                <a:schemeClr val="accent2">
                  <a:tint val="7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data'!$I$9:$K$9</c:f>
              <c:numCache>
                <c:formatCode>General</c:formatCode>
                <c:ptCount val="3"/>
                <c:pt idx="0">
                  <c:v>32.517781630000002</c:v>
                </c:pt>
                <c:pt idx="1">
                  <c:v>35.813986909999997</c:v>
                </c:pt>
                <c:pt idx="2">
                  <c:v>36.686857089999997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07-4BA1-866E-37EC04CFAC19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data'!$I$10:$K$10</c:f>
              <c:numCache>
                <c:formatCode>General</c:formatCode>
                <c:ptCount val="3"/>
                <c:pt idx="0">
                  <c:v>60</c:v>
                </c:pt>
                <c:pt idx="1">
                  <c:v>55</c:v>
                </c:pt>
                <c:pt idx="2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A07-4BA1-866E-37EC04CFAC19}"/>
            </c:ext>
          </c:extLst>
        </c:ser>
        <c:ser>
          <c:idx val="8"/>
          <c:order val="8"/>
          <c:spPr>
            <a:ln w="28575" cap="rnd">
              <a:solidFill>
                <a:schemeClr val="accent2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data'!$I$11:$K$11</c:f>
              <c:numCache>
                <c:formatCode>General</c:formatCode>
                <c:ptCount val="3"/>
                <c:pt idx="0">
                  <c:v>60</c:v>
                </c:pt>
                <c:pt idx="1">
                  <c:v>45</c:v>
                </c:pt>
                <c:pt idx="2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07-4BA1-866E-37EC04CFAC19}"/>
            </c:ext>
          </c:extLst>
        </c:ser>
        <c:ser>
          <c:idx val="9"/>
          <c:order val="9"/>
          <c:spPr>
            <a:ln w="28575" cap="rnd">
              <a:solidFill>
                <a:schemeClr val="accent2">
                  <a:tint val="8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data'!$I$12:$K$12</c:f>
              <c:numCache>
                <c:formatCode>General</c:formatCode>
                <c:ptCount val="3"/>
                <c:pt idx="0">
                  <c:v>26</c:v>
                </c:pt>
                <c:pt idx="1">
                  <c:v>60</c:v>
                </c:pt>
                <c:pt idx="2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A07-4BA1-866E-37EC04CFAC19}"/>
            </c:ext>
          </c:extLst>
        </c:ser>
        <c:ser>
          <c:idx val="10"/>
          <c:order val="10"/>
          <c:spPr>
            <a:ln w="28575" cap="rnd">
              <a:solidFill>
                <a:schemeClr val="accent2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data'!$I$13:$K$13</c:f>
              <c:numCache>
                <c:formatCode>General</c:formatCode>
                <c:ptCount val="3"/>
                <c:pt idx="0">
                  <c:v>5</c:v>
                </c:pt>
                <c:pt idx="1">
                  <c:v>70</c:v>
                </c:pt>
                <c:pt idx="2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A07-4BA1-866E-37EC04CFAC19}"/>
            </c:ext>
          </c:extLst>
        </c:ser>
        <c:ser>
          <c:idx val="11"/>
          <c:order val="1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data'!$I$14:$K$14</c:f>
              <c:numCache>
                <c:formatCode>General</c:formatCode>
                <c:ptCount val="3"/>
                <c:pt idx="0">
                  <c:v>29</c:v>
                </c:pt>
                <c:pt idx="1">
                  <c:v>85</c:v>
                </c:pt>
                <c:pt idx="2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A07-4BA1-866E-37EC04CFAC19}"/>
            </c:ext>
          </c:extLst>
        </c:ser>
        <c:ser>
          <c:idx val="12"/>
          <c:order val="12"/>
          <c:spPr>
            <a:ln w="28575" cap="rnd">
              <a:solidFill>
                <a:schemeClr val="accent2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data'!$I$15:$K$15</c:f>
              <c:numCache>
                <c:formatCode>General</c:formatCode>
                <c:ptCount val="3"/>
                <c:pt idx="0">
                  <c:v>28.199674590000001</c:v>
                </c:pt>
                <c:pt idx="1">
                  <c:v>50.422461910000003</c:v>
                </c:pt>
                <c:pt idx="2">
                  <c:v>54.380772260000001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A07-4BA1-866E-37EC04CFAC19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shade val="8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data'!$I$16:$K$16</c:f>
              <c:numCache>
                <c:formatCode>General</c:formatCode>
                <c:ptCount val="3"/>
                <c:pt idx="0">
                  <c:v>46</c:v>
                </c:pt>
                <c:pt idx="1">
                  <c:v>55</c:v>
                </c:pt>
                <c:pt idx="2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A07-4BA1-866E-37EC04CFAC19}"/>
            </c:ext>
          </c:extLst>
        </c:ser>
        <c:ser>
          <c:idx val="14"/>
          <c:order val="14"/>
          <c:spPr>
            <a:ln w="28575" cap="rnd">
              <a:solidFill>
                <a:schemeClr val="accent2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data'!$I$17:$K$17</c:f>
              <c:numCache>
                <c:formatCode>General</c:formatCode>
                <c:ptCount val="3"/>
                <c:pt idx="0">
                  <c:v>35</c:v>
                </c:pt>
                <c:pt idx="1">
                  <c:v>55</c:v>
                </c:pt>
                <c:pt idx="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A07-4BA1-866E-37EC04CFAC19}"/>
            </c:ext>
          </c:extLst>
        </c:ser>
        <c:ser>
          <c:idx val="15"/>
          <c:order val="15"/>
          <c:spPr>
            <a:ln w="28575" cap="rnd">
              <a:solidFill>
                <a:schemeClr val="accent2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data'!$I$18:$K$18</c:f>
              <c:numCache>
                <c:formatCode>General</c:formatCode>
                <c:ptCount val="3"/>
                <c:pt idx="0">
                  <c:v>41</c:v>
                </c:pt>
                <c:pt idx="1">
                  <c:v>50</c:v>
                </c:pt>
                <c:pt idx="2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A07-4BA1-866E-37EC04CFAC19}"/>
            </c:ext>
          </c:extLst>
        </c:ser>
        <c:ser>
          <c:idx val="16"/>
          <c:order val="16"/>
          <c:spPr>
            <a:ln w="28575" cap="rnd">
              <a:solidFill>
                <a:schemeClr val="accent2">
                  <a:shade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data'!$I$19:$K$19</c:f>
              <c:numCache>
                <c:formatCode>General</c:formatCode>
                <c:ptCount val="3"/>
                <c:pt idx="0">
                  <c:v>19</c:v>
                </c:pt>
                <c:pt idx="1">
                  <c:v>75</c:v>
                </c:pt>
                <c:pt idx="2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A07-4BA1-866E-37EC04CFAC19}"/>
            </c:ext>
          </c:extLst>
        </c:ser>
        <c:ser>
          <c:idx val="17"/>
          <c:order val="17"/>
          <c:spPr>
            <a:ln w="285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data'!$I$20:$K$20</c:f>
              <c:numCache>
                <c:formatCode>General</c:formatCode>
                <c:ptCount val="3"/>
                <c:pt idx="0">
                  <c:v>17</c:v>
                </c:pt>
                <c:pt idx="1">
                  <c:v>75</c:v>
                </c:pt>
                <c:pt idx="2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A07-4BA1-866E-37EC04CFAC19}"/>
            </c:ext>
          </c:extLst>
        </c:ser>
        <c:ser>
          <c:idx val="18"/>
          <c:order val="18"/>
          <c:spPr>
            <a:ln w="28575" cap="rnd">
              <a:solidFill>
                <a:schemeClr val="accent2">
                  <a:shade val="5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data'!$I$21:$K$21</c:f>
              <c:numCache>
                <c:formatCode>General</c:formatCode>
                <c:ptCount val="3"/>
                <c:pt idx="0">
                  <c:v>19</c:v>
                </c:pt>
                <c:pt idx="1">
                  <c:v>80</c:v>
                </c:pt>
                <c:pt idx="2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A07-4BA1-866E-37EC04CFAC19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data'!$I$22:$K$22</c:f>
              <c:numCache>
                <c:formatCode>General</c:formatCode>
                <c:ptCount val="3"/>
                <c:pt idx="0">
                  <c:v>14</c:v>
                </c:pt>
                <c:pt idx="1">
                  <c:v>80</c:v>
                </c:pt>
                <c:pt idx="2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A07-4BA1-866E-37EC04CFAC19}"/>
            </c:ext>
          </c:extLst>
        </c:ser>
        <c:ser>
          <c:idx val="20"/>
          <c:order val="20"/>
          <c:spPr>
            <a:ln w="28575" cap="rnd">
              <a:solidFill>
                <a:schemeClr val="accent2">
                  <a:shade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data'!$I$23:$K$23</c:f>
              <c:numCache>
                <c:formatCode>General</c:formatCode>
                <c:ptCount val="3"/>
                <c:pt idx="0">
                  <c:v>17</c:v>
                </c:pt>
                <c:pt idx="1">
                  <c:v>80</c:v>
                </c:pt>
                <c:pt idx="2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A07-4BA1-866E-37EC04CFAC19}"/>
            </c:ext>
          </c:extLst>
        </c:ser>
        <c:ser>
          <c:idx val="21"/>
          <c:order val="21"/>
          <c:spPr>
            <a:ln w="28575" cap="rnd">
              <a:solidFill>
                <a:schemeClr val="accent2">
                  <a:shade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data'!$I$24:$K$24</c:f>
              <c:numCache>
                <c:formatCode>General</c:formatCode>
                <c:ptCount val="3"/>
                <c:pt idx="0">
                  <c:v>16</c:v>
                </c:pt>
                <c:pt idx="1">
                  <c:v>80</c:v>
                </c:pt>
                <c:pt idx="2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A07-4BA1-866E-37EC04CFAC19}"/>
            </c:ext>
          </c:extLst>
        </c:ser>
        <c:ser>
          <c:idx val="22"/>
          <c:order val="22"/>
          <c:spPr>
            <a:ln w="28575" cap="rnd">
              <a:solidFill>
                <a:schemeClr val="accent2">
                  <a:shade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'Graphs from data'!$I$2:$K$2</c:f>
              <c:strCache>
                <c:ptCount val="3"/>
                <c:pt idx="0">
                  <c:v>Time (min)</c:v>
                </c:pt>
                <c:pt idx="1">
                  <c:v>Temperature (C)</c:v>
                </c:pt>
                <c:pt idx="2">
                  <c:v>Yield (%)</c:v>
                </c:pt>
              </c:strCache>
            </c:strRef>
          </c:cat>
          <c:val>
            <c:numRef>
              <c:f>'Graphs from data'!$I$25:$K$25</c:f>
              <c:numCache>
                <c:formatCode>General</c:formatCode>
                <c:ptCount val="3"/>
                <c:pt idx="0">
                  <c:v>15</c:v>
                </c:pt>
                <c:pt idx="1">
                  <c:v>80</c:v>
                </c:pt>
                <c:pt idx="2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A07-4BA1-866E-37EC04CFA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832320"/>
        <c:axId val="1154838560"/>
      </c:lineChart>
      <c:catAx>
        <c:axId val="115483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38560"/>
        <c:crosses val="autoZero"/>
        <c:auto val="1"/>
        <c:lblAlgn val="ctr"/>
        <c:lblOffset val="100"/>
        <c:noMultiLvlLbl val="0"/>
      </c:catAx>
      <c:valAx>
        <c:axId val="11548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3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38099</xdr:rowOff>
    </xdr:from>
    <xdr:to>
      <xdr:col>8</xdr:col>
      <xdr:colOff>406003</xdr:colOff>
      <xdr:row>24</xdr:row>
      <xdr:rowOff>160972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E9C58-4778-4A5F-8C90-E2E68FF8B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" y="38099"/>
          <a:ext cx="5582841" cy="4466273"/>
        </a:xfrm>
        <a:prstGeom prst="rect">
          <a:avLst/>
        </a:prstGeom>
      </xdr:spPr>
    </xdr:pic>
    <xdr:clientData/>
  </xdr:twoCellAnchor>
  <xdr:twoCellAnchor editAs="oneCell">
    <xdr:from>
      <xdr:col>8</xdr:col>
      <xdr:colOff>376238</xdr:colOff>
      <xdr:row>0</xdr:row>
      <xdr:rowOff>14289</xdr:rowOff>
    </xdr:from>
    <xdr:to>
      <xdr:col>17</xdr:col>
      <xdr:colOff>202406</xdr:colOff>
      <xdr:row>25</xdr:row>
      <xdr:rowOff>15539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091F46-2F25-8F07-AAD1-6C7BAE13C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67363" y="14289"/>
          <a:ext cx="5666184" cy="44660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71438</xdr:colOff>
      <xdr:row>0</xdr:row>
      <xdr:rowOff>76200</xdr:rowOff>
    </xdr:from>
    <xdr:to>
      <xdr:col>7</xdr:col>
      <xdr:colOff>109538</xdr:colOff>
      <xdr:row>15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007C54-2C4E-4FB5-A9B9-1E17372FC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83343</xdr:colOff>
      <xdr:row>15</xdr:row>
      <xdr:rowOff>145254</xdr:rowOff>
    </xdr:from>
    <xdr:to>
      <xdr:col>7</xdr:col>
      <xdr:colOff>614362</xdr:colOff>
      <xdr:row>33</xdr:row>
      <xdr:rowOff>119062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CBE115-7A24-79CA-B9BE-7904C053B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363653</xdr:colOff>
      <xdr:row>8</xdr:row>
      <xdr:rowOff>92604</xdr:rowOff>
    </xdr:from>
    <xdr:to>
      <xdr:col>8</xdr:col>
      <xdr:colOff>363538</xdr:colOff>
      <xdr:row>26</xdr:row>
      <xdr:rowOff>7266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DD3E92-0536-AB95-291B-7F763304D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5466" y="1521354"/>
          <a:ext cx="2833572" cy="3132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2:K25" totalsRowShown="0">
  <autoFilter ref="I2:K25" xr:uid="{00000000-0009-0000-0100-000001000000}"/>
  <sortState xmlns:xlrd2="http://schemas.microsoft.com/office/spreadsheetml/2017/richdata2" ref="I3:K25">
    <sortCondition ref="K2:K25"/>
  </sortState>
  <tableColumns count="3">
    <tableColumn id="1" xr3:uid="{00000000-0010-0000-0000-000001000000}" name="Time (min)"/>
    <tableColumn id="2" xr3:uid="{00000000-0010-0000-0000-000002000000}" name="Temperature (C)"/>
    <tableColumn id="3" xr3:uid="{00000000-0010-0000-0000-000003000000}" name="Yield (%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workbookViewId="0">
      <selection activeCell="H18" sqref="H18"/>
    </sheetView>
  </sheetViews>
  <sheetFormatPr defaultRowHeight="14.5" x14ac:dyDescent="0.35"/>
  <cols>
    <col min="6" max="6" width="9.81640625" bestFit="1" customWidth="1"/>
    <col min="7" max="7" width="11.453125" customWidth="1"/>
    <col min="9" max="9" width="14.453125" bestFit="1" customWidth="1"/>
  </cols>
  <sheetData>
    <row r="1" spans="1:9" x14ac:dyDescent="0.35">
      <c r="A1" t="s">
        <v>15</v>
      </c>
      <c r="B1" t="s">
        <v>0</v>
      </c>
      <c r="C1" t="s">
        <v>1</v>
      </c>
      <c r="D1" t="s">
        <v>2</v>
      </c>
      <c r="F1" t="s">
        <v>3</v>
      </c>
      <c r="G1" t="s">
        <v>11</v>
      </c>
      <c r="H1" t="s">
        <v>17</v>
      </c>
      <c r="I1" t="s">
        <v>16</v>
      </c>
    </row>
    <row r="2" spans="1:9" x14ac:dyDescent="0.35">
      <c r="A2" s="2">
        <v>1</v>
      </c>
      <c r="B2" s="2">
        <v>7.9036121829999999</v>
      </c>
      <c r="C2" s="2">
        <v>44.355455370000001</v>
      </c>
      <c r="D2" s="2">
        <v>24.65021814</v>
      </c>
      <c r="E2" s="2"/>
      <c r="F2" t="s">
        <v>4</v>
      </c>
      <c r="G2">
        <f>AVERAGE(D2:D6)</f>
        <v>26.170188478800004</v>
      </c>
      <c r="H2">
        <f>STDEV(D2:D6)</f>
        <v>20.103813557730454</v>
      </c>
      <c r="I2" t="s">
        <v>14</v>
      </c>
    </row>
    <row r="3" spans="1:9" x14ac:dyDescent="0.35">
      <c r="A3" s="2">
        <v>2</v>
      </c>
      <c r="B3" s="2">
        <v>28.199674590000001</v>
      </c>
      <c r="C3" s="2">
        <v>50.422461910000003</v>
      </c>
      <c r="D3" s="2">
        <v>54.380772260000001</v>
      </c>
      <c r="E3" s="2"/>
      <c r="F3" t="s">
        <v>5</v>
      </c>
      <c r="G3">
        <f>AVERAGE(D7:D9)</f>
        <v>55.666666666666664</v>
      </c>
      <c r="H3">
        <f>STDEV(D7:D9)</f>
        <v>5.1316014394468841</v>
      </c>
      <c r="I3" t="s">
        <v>12</v>
      </c>
    </row>
    <row r="4" spans="1:9" x14ac:dyDescent="0.35">
      <c r="A4" s="2">
        <v>3</v>
      </c>
      <c r="B4" s="2">
        <v>8.3673958600000002</v>
      </c>
      <c r="C4" s="2">
        <v>103.63653840000001</v>
      </c>
      <c r="D4" s="2">
        <v>4.7634515239999997</v>
      </c>
      <c r="E4" s="2"/>
      <c r="F4" t="s">
        <v>6</v>
      </c>
      <c r="G4">
        <f>AVERAGE(D10:D12)</f>
        <v>33.333333333333336</v>
      </c>
      <c r="H4">
        <f>STDEV(D10:D12)</f>
        <v>13.27905619136139</v>
      </c>
      <c r="I4" t="s">
        <v>12</v>
      </c>
    </row>
    <row r="5" spans="1:9" x14ac:dyDescent="0.35">
      <c r="A5" s="2">
        <v>4</v>
      </c>
      <c r="B5" s="2">
        <v>7.0571616290000003</v>
      </c>
      <c r="C5" s="2">
        <v>99.866003269999993</v>
      </c>
      <c r="D5" s="2">
        <v>10.369643379999999</v>
      </c>
      <c r="E5" s="2"/>
      <c r="F5" t="s">
        <v>7</v>
      </c>
      <c r="G5">
        <f>AVERAGE(D13:D15)</f>
        <v>35.1</v>
      </c>
      <c r="H5">
        <f>STDEV(D13:D15)</f>
        <v>30.241197066253843</v>
      </c>
      <c r="I5" t="s">
        <v>12</v>
      </c>
    </row>
    <row r="6" spans="1:9" x14ac:dyDescent="0.35">
      <c r="A6" s="2">
        <v>5</v>
      </c>
      <c r="B6" s="2">
        <v>32.517781630000002</v>
      </c>
      <c r="C6" s="2">
        <v>35.813986909999997</v>
      </c>
      <c r="D6" s="2">
        <v>36.686857089999997</v>
      </c>
      <c r="E6" s="2"/>
      <c r="F6" t="s">
        <v>8</v>
      </c>
      <c r="G6">
        <f>AVERAGE(D16:D18)</f>
        <v>53.666666666666664</v>
      </c>
      <c r="H6">
        <f>STDEV(D16:D18)</f>
        <v>33.531080109852304</v>
      </c>
      <c r="I6" t="s">
        <v>12</v>
      </c>
    </row>
    <row r="7" spans="1:9" x14ac:dyDescent="0.35">
      <c r="A7" s="1">
        <v>6</v>
      </c>
      <c r="B7" s="1">
        <v>35</v>
      </c>
      <c r="C7" s="1">
        <v>55</v>
      </c>
      <c r="D7" s="1">
        <v>57</v>
      </c>
      <c r="E7" s="1">
        <v>1</v>
      </c>
      <c r="F7" t="s">
        <v>9</v>
      </c>
      <c r="G7">
        <f>AVERAGE(D19:D21)</f>
        <v>85.333333333333329</v>
      </c>
      <c r="H7">
        <f>STDEV(D19:D21)</f>
        <v>3.214550253664318</v>
      </c>
      <c r="I7" t="s">
        <v>12</v>
      </c>
    </row>
    <row r="8" spans="1:9" x14ac:dyDescent="0.35">
      <c r="A8" s="1">
        <v>7</v>
      </c>
      <c r="B8" s="1">
        <v>26</v>
      </c>
      <c r="C8" s="1">
        <v>60</v>
      </c>
      <c r="D8" s="1">
        <v>50</v>
      </c>
      <c r="E8" s="1"/>
      <c r="F8" t="s">
        <v>10</v>
      </c>
      <c r="G8">
        <f>AVERAGE(D22:D24)</f>
        <v>89.666666666666671</v>
      </c>
      <c r="H8">
        <f>STDEV(D22:D24)</f>
        <v>0.57735026918962573</v>
      </c>
      <c r="I8" t="s">
        <v>13</v>
      </c>
    </row>
    <row r="9" spans="1:9" x14ac:dyDescent="0.35">
      <c r="A9" s="1">
        <v>8</v>
      </c>
      <c r="B9" s="1">
        <v>41</v>
      </c>
      <c r="C9" s="1">
        <v>50</v>
      </c>
      <c r="D9" s="1">
        <v>60</v>
      </c>
      <c r="E9" s="1"/>
    </row>
    <row r="10" spans="1:9" x14ac:dyDescent="0.35">
      <c r="A10">
        <v>9</v>
      </c>
      <c r="B10">
        <v>60</v>
      </c>
      <c r="C10">
        <v>55</v>
      </c>
      <c r="D10">
        <v>41</v>
      </c>
      <c r="E10">
        <v>2</v>
      </c>
    </row>
    <row r="11" spans="1:9" x14ac:dyDescent="0.35">
      <c r="A11">
        <v>10</v>
      </c>
      <c r="B11">
        <v>60</v>
      </c>
      <c r="C11">
        <v>70</v>
      </c>
      <c r="D11">
        <v>18</v>
      </c>
    </row>
    <row r="12" spans="1:9" x14ac:dyDescent="0.35">
      <c r="A12">
        <v>11</v>
      </c>
      <c r="B12">
        <v>60</v>
      </c>
      <c r="C12">
        <v>45</v>
      </c>
      <c r="D12">
        <v>41</v>
      </c>
    </row>
    <row r="13" spans="1:9" x14ac:dyDescent="0.35">
      <c r="A13" s="1">
        <v>12</v>
      </c>
      <c r="B13" s="1">
        <v>5</v>
      </c>
      <c r="C13" s="1">
        <v>70</v>
      </c>
      <c r="D13" s="1">
        <v>50</v>
      </c>
      <c r="E13" s="1">
        <v>3</v>
      </c>
    </row>
    <row r="14" spans="1:9" x14ac:dyDescent="0.35">
      <c r="A14" s="1">
        <v>13</v>
      </c>
      <c r="B14" s="1">
        <v>60</v>
      </c>
      <c r="C14" s="1">
        <v>100</v>
      </c>
      <c r="D14" s="1">
        <v>0.3</v>
      </c>
      <c r="E14" s="1"/>
    </row>
    <row r="15" spans="1:9" x14ac:dyDescent="0.35">
      <c r="A15" s="1">
        <v>14</v>
      </c>
      <c r="B15" s="1">
        <v>46</v>
      </c>
      <c r="C15" s="1">
        <v>55</v>
      </c>
      <c r="D15" s="1">
        <v>55</v>
      </c>
      <c r="E15" s="1"/>
    </row>
    <row r="16" spans="1:9" x14ac:dyDescent="0.35">
      <c r="A16">
        <v>15</v>
      </c>
      <c r="B16">
        <v>19</v>
      </c>
      <c r="C16">
        <v>80</v>
      </c>
      <c r="D16">
        <v>88</v>
      </c>
      <c r="E16">
        <v>4</v>
      </c>
    </row>
    <row r="17" spans="1:5" x14ac:dyDescent="0.35">
      <c r="A17">
        <v>16</v>
      </c>
      <c r="B17">
        <v>53</v>
      </c>
      <c r="C17">
        <v>30</v>
      </c>
      <c r="D17">
        <v>21</v>
      </c>
    </row>
    <row r="18" spans="1:5" x14ac:dyDescent="0.35">
      <c r="A18">
        <v>17</v>
      </c>
      <c r="B18">
        <v>29</v>
      </c>
      <c r="C18">
        <v>85</v>
      </c>
      <c r="D18">
        <v>52</v>
      </c>
    </row>
    <row r="19" spans="1:5" x14ac:dyDescent="0.35">
      <c r="A19" s="1">
        <v>18</v>
      </c>
      <c r="B19" s="1">
        <v>19</v>
      </c>
      <c r="C19" s="1">
        <v>75</v>
      </c>
      <c r="D19" s="1">
        <v>83</v>
      </c>
      <c r="E19" s="1">
        <v>5</v>
      </c>
    </row>
    <row r="20" spans="1:5" x14ac:dyDescent="0.35">
      <c r="A20" s="1">
        <v>19</v>
      </c>
      <c r="B20" s="1">
        <v>14</v>
      </c>
      <c r="C20" s="1">
        <v>80</v>
      </c>
      <c r="D20" s="1">
        <v>89</v>
      </c>
      <c r="E20" s="1"/>
    </row>
    <row r="21" spans="1:5" x14ac:dyDescent="0.35">
      <c r="A21" s="1">
        <v>20</v>
      </c>
      <c r="B21" s="1">
        <v>17</v>
      </c>
      <c r="C21" s="1">
        <v>75</v>
      </c>
      <c r="D21" s="1">
        <v>84</v>
      </c>
      <c r="E21" s="1"/>
    </row>
    <row r="22" spans="1:5" x14ac:dyDescent="0.35">
      <c r="A22">
        <v>21</v>
      </c>
      <c r="B22">
        <v>16</v>
      </c>
      <c r="C22">
        <v>80</v>
      </c>
      <c r="D22">
        <v>90</v>
      </c>
      <c r="E22">
        <v>6</v>
      </c>
    </row>
    <row r="23" spans="1:5" x14ac:dyDescent="0.35">
      <c r="A23">
        <v>22</v>
      </c>
      <c r="B23">
        <v>17</v>
      </c>
      <c r="C23">
        <v>80</v>
      </c>
      <c r="D23">
        <v>89</v>
      </c>
    </row>
    <row r="24" spans="1:5" x14ac:dyDescent="0.35">
      <c r="A24">
        <v>23</v>
      </c>
      <c r="B24">
        <v>15</v>
      </c>
      <c r="C24">
        <v>80</v>
      </c>
      <c r="D24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80" zoomScaleNormal="80" workbookViewId="0">
      <selection activeCell="J1" sqref="J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I2:K25"/>
  <sheetViews>
    <sheetView zoomScale="80" zoomScaleNormal="80" workbookViewId="0">
      <selection activeCell="N29" sqref="N29"/>
    </sheetView>
  </sheetViews>
  <sheetFormatPr defaultRowHeight="14.5" x14ac:dyDescent="0.35"/>
  <cols>
    <col min="9" max="9" width="11.08984375" customWidth="1"/>
    <col min="10" max="10" width="15.453125" customWidth="1"/>
    <col min="11" max="11" width="10.90625" customWidth="1"/>
  </cols>
  <sheetData>
    <row r="2" spans="9:11" x14ac:dyDescent="0.35">
      <c r="I2" t="s">
        <v>0</v>
      </c>
      <c r="J2" t="s">
        <v>1</v>
      </c>
      <c r="K2" t="s">
        <v>2</v>
      </c>
    </row>
    <row r="3" spans="9:11" x14ac:dyDescent="0.35">
      <c r="I3">
        <v>60</v>
      </c>
      <c r="J3">
        <v>100</v>
      </c>
      <c r="K3">
        <v>0.3</v>
      </c>
    </row>
    <row r="4" spans="9:11" x14ac:dyDescent="0.35">
      <c r="I4">
        <v>8.3673958600000002</v>
      </c>
      <c r="J4">
        <v>103.63653840000001</v>
      </c>
      <c r="K4">
        <v>4.7634515239999997</v>
      </c>
    </row>
    <row r="5" spans="9:11" x14ac:dyDescent="0.35">
      <c r="I5">
        <v>7.0571616290000003</v>
      </c>
      <c r="J5">
        <v>99.866003269999993</v>
      </c>
      <c r="K5">
        <v>10.369643379999999</v>
      </c>
    </row>
    <row r="6" spans="9:11" x14ac:dyDescent="0.35">
      <c r="I6">
        <v>60</v>
      </c>
      <c r="J6">
        <v>70</v>
      </c>
      <c r="K6">
        <v>18</v>
      </c>
    </row>
    <row r="7" spans="9:11" x14ac:dyDescent="0.35">
      <c r="I7">
        <v>53</v>
      </c>
      <c r="J7">
        <v>30</v>
      </c>
      <c r="K7">
        <v>21</v>
      </c>
    </row>
    <row r="8" spans="9:11" x14ac:dyDescent="0.35">
      <c r="I8">
        <v>7.9036121829999999</v>
      </c>
      <c r="J8">
        <v>44.355455370000001</v>
      </c>
      <c r="K8">
        <v>24.65021814</v>
      </c>
    </row>
    <row r="9" spans="9:11" x14ac:dyDescent="0.35">
      <c r="I9">
        <v>32.517781630000002</v>
      </c>
      <c r="J9">
        <v>35.813986909999997</v>
      </c>
      <c r="K9">
        <v>36.686857089999997</v>
      </c>
    </row>
    <row r="10" spans="9:11" x14ac:dyDescent="0.35">
      <c r="I10">
        <v>60</v>
      </c>
      <c r="J10">
        <v>55</v>
      </c>
      <c r="K10">
        <v>41</v>
      </c>
    </row>
    <row r="11" spans="9:11" x14ac:dyDescent="0.35">
      <c r="I11">
        <v>60</v>
      </c>
      <c r="J11">
        <v>45</v>
      </c>
      <c r="K11">
        <v>41</v>
      </c>
    </row>
    <row r="12" spans="9:11" x14ac:dyDescent="0.35">
      <c r="I12">
        <v>26</v>
      </c>
      <c r="J12">
        <v>60</v>
      </c>
      <c r="K12">
        <v>50</v>
      </c>
    </row>
    <row r="13" spans="9:11" x14ac:dyDescent="0.35">
      <c r="I13">
        <v>5</v>
      </c>
      <c r="J13">
        <v>70</v>
      </c>
      <c r="K13">
        <v>50</v>
      </c>
    </row>
    <row r="14" spans="9:11" x14ac:dyDescent="0.35">
      <c r="I14">
        <v>29</v>
      </c>
      <c r="J14">
        <v>85</v>
      </c>
      <c r="K14">
        <v>52</v>
      </c>
    </row>
    <row r="15" spans="9:11" x14ac:dyDescent="0.35">
      <c r="I15">
        <v>28.199674590000001</v>
      </c>
      <c r="J15">
        <v>50.422461910000003</v>
      </c>
      <c r="K15">
        <v>54.380772260000001</v>
      </c>
    </row>
    <row r="16" spans="9:11" x14ac:dyDescent="0.35">
      <c r="I16">
        <v>46</v>
      </c>
      <c r="J16">
        <v>55</v>
      </c>
      <c r="K16">
        <v>55</v>
      </c>
    </row>
    <row r="17" spans="9:11" x14ac:dyDescent="0.35">
      <c r="I17">
        <v>35</v>
      </c>
      <c r="J17">
        <v>55</v>
      </c>
      <c r="K17">
        <v>57</v>
      </c>
    </row>
    <row r="18" spans="9:11" x14ac:dyDescent="0.35">
      <c r="I18">
        <v>41</v>
      </c>
      <c r="J18">
        <v>50</v>
      </c>
      <c r="K18">
        <v>60</v>
      </c>
    </row>
    <row r="19" spans="9:11" x14ac:dyDescent="0.35">
      <c r="I19">
        <v>19</v>
      </c>
      <c r="J19">
        <v>75</v>
      </c>
      <c r="K19">
        <v>83</v>
      </c>
    </row>
    <row r="20" spans="9:11" x14ac:dyDescent="0.35">
      <c r="I20">
        <v>17</v>
      </c>
      <c r="J20">
        <v>75</v>
      </c>
      <c r="K20">
        <v>84</v>
      </c>
    </row>
    <row r="21" spans="9:11" x14ac:dyDescent="0.35">
      <c r="I21">
        <v>19</v>
      </c>
      <c r="J21">
        <v>80</v>
      </c>
      <c r="K21">
        <v>88</v>
      </c>
    </row>
    <row r="22" spans="9:11" x14ac:dyDescent="0.35">
      <c r="I22">
        <v>14</v>
      </c>
      <c r="J22">
        <v>80</v>
      </c>
      <c r="K22">
        <v>89</v>
      </c>
    </row>
    <row r="23" spans="9:11" x14ac:dyDescent="0.35">
      <c r="I23">
        <v>17</v>
      </c>
      <c r="J23">
        <v>80</v>
      </c>
      <c r="K23">
        <v>89</v>
      </c>
    </row>
    <row r="24" spans="9:11" x14ac:dyDescent="0.35">
      <c r="I24">
        <v>16</v>
      </c>
      <c r="J24">
        <v>80</v>
      </c>
      <c r="K24">
        <v>90</v>
      </c>
    </row>
    <row r="25" spans="9:11" x14ac:dyDescent="0.35">
      <c r="I25">
        <v>15</v>
      </c>
      <c r="J25">
        <v>80</v>
      </c>
      <c r="K25">
        <v>90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80E8-7A7D-4934-8011-BB4AAA3058E2}">
  <dimension ref="A1:G26"/>
  <sheetViews>
    <sheetView zoomScale="80" zoomScaleNormal="80" workbookViewId="0">
      <selection activeCell="F8" sqref="F8"/>
    </sheetView>
  </sheetViews>
  <sheetFormatPr defaultRowHeight="14.5" x14ac:dyDescent="0.35"/>
  <cols>
    <col min="1" max="1" width="13" customWidth="1"/>
    <col min="2" max="2" width="13.6328125" bestFit="1" customWidth="1"/>
    <col min="5" max="5" width="9.54296875" customWidth="1"/>
    <col min="6" max="6" width="13.6328125" bestFit="1" customWidth="1"/>
  </cols>
  <sheetData>
    <row r="1" spans="1:7" x14ac:dyDescent="0.35">
      <c r="A1" t="s">
        <v>18</v>
      </c>
    </row>
    <row r="2" spans="1:7" x14ac:dyDescent="0.35">
      <c r="A2" s="3" t="s">
        <v>19</v>
      </c>
      <c r="B2" s="3" t="s">
        <v>20</v>
      </c>
    </row>
    <row r="3" spans="1:7" x14ac:dyDescent="0.35">
      <c r="A3" s="4" t="s">
        <v>21</v>
      </c>
      <c r="B3" s="4" t="s">
        <v>22</v>
      </c>
    </row>
    <row r="5" spans="1:7" x14ac:dyDescent="0.35">
      <c r="A5" t="s">
        <v>23</v>
      </c>
      <c r="E5" t="s">
        <v>24</v>
      </c>
    </row>
    <row r="6" spans="1:7" x14ac:dyDescent="0.35">
      <c r="A6" t="s">
        <v>0</v>
      </c>
      <c r="B6" t="s">
        <v>1</v>
      </c>
      <c r="C6" t="s">
        <v>2</v>
      </c>
      <c r="E6" t="s">
        <v>0</v>
      </c>
      <c r="F6" t="s">
        <v>1</v>
      </c>
      <c r="G6" t="s">
        <v>2</v>
      </c>
    </row>
    <row r="7" spans="1:7" x14ac:dyDescent="0.35">
      <c r="A7">
        <f ca="1">RAND()*30+5</f>
        <v>16.643469996024447</v>
      </c>
      <c r="B7">
        <f ca="1">RAND()*80+30</f>
        <v>86.960291719466483</v>
      </c>
      <c r="C7">
        <f ca="1">60*EXP(-((A7-40)^2/(2*25^2)+(B7-50)^2/(2*15^2)))+85*EXP(-((A7-15)^2/(2*15^2)+(B7-80)^2/(2*10^2)))</f>
        <v>68.178378762255861</v>
      </c>
      <c r="E7" s="6">
        <v>15</v>
      </c>
      <c r="F7" s="6">
        <v>80</v>
      </c>
      <c r="G7" s="5">
        <f>60*EXP(-((E7-40)^2/(2*25^2)+(F7-50)^2/(2*15^2)))+85*EXP(-((E7-15)^2/(2*15^2)+(F7-80)^2/(2*10^2)))</f>
        <v>89.925099917433926</v>
      </c>
    </row>
    <row r="8" spans="1:7" x14ac:dyDescent="0.35">
      <c r="A8">
        <f t="shared" ref="A8:A26" ca="1" si="0">RAND()*30+5</f>
        <v>20.958873486549237</v>
      </c>
      <c r="B8">
        <f t="shared" ref="B8:B26" ca="1" si="1">RAND()*80+30</f>
        <v>37.543753553833561</v>
      </c>
      <c r="C8">
        <f t="shared" ref="C8:C26" ca="1" si="2">60*EXP(-((A8-40)^2/(2*25^2)+(B8-50)^2/(2*15^2)))+85*EXP(-((A8-15)^2/(2*15^2)+(B8-80)^2/(2*10^2)))</f>
        <v>31.8105561557127</v>
      </c>
    </row>
    <row r="9" spans="1:7" x14ac:dyDescent="0.35">
      <c r="A9">
        <f t="shared" ca="1" si="0"/>
        <v>21.825447329689254</v>
      </c>
      <c r="B9">
        <f t="shared" ca="1" si="1"/>
        <v>69.57813057285999</v>
      </c>
      <c r="C9">
        <f t="shared" ca="1" si="2"/>
        <v>64.179427475178372</v>
      </c>
    </row>
    <row r="10" spans="1:7" x14ac:dyDescent="0.35">
      <c r="A10">
        <f t="shared" ca="1" si="0"/>
        <v>33.824518319724739</v>
      </c>
      <c r="B10">
        <f t="shared" ca="1" si="1"/>
        <v>102.82472307313699</v>
      </c>
      <c r="C10">
        <f t="shared" ca="1" si="2"/>
        <v>2.976608970341859</v>
      </c>
    </row>
    <row r="11" spans="1:7" x14ac:dyDescent="0.35">
      <c r="A11">
        <f t="shared" ca="1" si="0"/>
        <v>23.851981276713882</v>
      </c>
      <c r="B11">
        <f t="shared" ca="1" si="1"/>
        <v>64.359466646434953</v>
      </c>
      <c r="C11">
        <f t="shared" ca="1" si="2"/>
        <v>51.818683949351097</v>
      </c>
    </row>
    <row r="12" spans="1:7" x14ac:dyDescent="0.35">
      <c r="A12">
        <f t="shared" ca="1" si="0"/>
        <v>13.830096172107782</v>
      </c>
      <c r="B12">
        <f t="shared" ca="1" si="1"/>
        <v>103.02985153210093</v>
      </c>
      <c r="C12">
        <f t="shared" ca="1" si="2"/>
        <v>6.0429457309125825</v>
      </c>
    </row>
    <row r="13" spans="1:7" x14ac:dyDescent="0.35">
      <c r="A13">
        <f t="shared" ca="1" si="0"/>
        <v>6.8274732685663722</v>
      </c>
      <c r="B13">
        <f t="shared" ca="1" si="1"/>
        <v>47.306105305352858</v>
      </c>
      <c r="C13">
        <f t="shared" ca="1" si="2"/>
        <v>24.830545928590745</v>
      </c>
    </row>
    <row r="14" spans="1:7" x14ac:dyDescent="0.35">
      <c r="A14">
        <f t="shared" ca="1" si="0"/>
        <v>14.335341037668176</v>
      </c>
      <c r="B14">
        <f t="shared" ca="1" si="1"/>
        <v>81.952373744247751</v>
      </c>
      <c r="C14">
        <f t="shared" ca="1" si="2"/>
        <v>86.977738518016963</v>
      </c>
    </row>
    <row r="15" spans="1:7" x14ac:dyDescent="0.35">
      <c r="A15">
        <f t="shared" ca="1" si="0"/>
        <v>10.280807868404221</v>
      </c>
      <c r="B15">
        <f t="shared" ca="1" si="1"/>
        <v>39.939928872119182</v>
      </c>
      <c r="C15">
        <f t="shared" ca="1" si="2"/>
        <v>23.664601482215463</v>
      </c>
    </row>
    <row r="16" spans="1:7" x14ac:dyDescent="0.35">
      <c r="A16">
        <f t="shared" ca="1" si="0"/>
        <v>18.786252598548714</v>
      </c>
      <c r="B16">
        <f t="shared" ca="1" si="1"/>
        <v>80.376874844168711</v>
      </c>
      <c r="C16">
        <f t="shared" ca="1" si="2"/>
        <v>87.662141601254206</v>
      </c>
    </row>
    <row r="17" spans="1:3" x14ac:dyDescent="0.35">
      <c r="A17">
        <f t="shared" ca="1" si="0"/>
        <v>5.8238373524722959</v>
      </c>
      <c r="B17">
        <f t="shared" ca="1" si="1"/>
        <v>101.23944824168964</v>
      </c>
      <c r="C17">
        <f t="shared" ca="1" si="2"/>
        <v>7.4577409806007218</v>
      </c>
    </row>
    <row r="18" spans="1:3" x14ac:dyDescent="0.35">
      <c r="A18">
        <f t="shared" ca="1" si="0"/>
        <v>26.235087218340258</v>
      </c>
      <c r="B18">
        <f t="shared" ca="1" si="1"/>
        <v>33.841028164422085</v>
      </c>
      <c r="C18">
        <f t="shared" ca="1" si="2"/>
        <v>28.863249586305521</v>
      </c>
    </row>
    <row r="19" spans="1:3" x14ac:dyDescent="0.35">
      <c r="A19">
        <f t="shared" ca="1" si="0"/>
        <v>34.898540510447674</v>
      </c>
      <c r="B19">
        <f t="shared" ca="1" si="1"/>
        <v>67.698782803500009</v>
      </c>
      <c r="C19">
        <f t="shared" ca="1" si="2"/>
        <v>45.841335736656504</v>
      </c>
    </row>
    <row r="20" spans="1:3" x14ac:dyDescent="0.35">
      <c r="A20">
        <f t="shared" ca="1" si="0"/>
        <v>17.125489296775893</v>
      </c>
      <c r="B20">
        <f t="shared" ca="1" si="1"/>
        <v>53.08154585286016</v>
      </c>
      <c r="C20">
        <f t="shared" ca="1" si="2"/>
        <v>40.900909375375171</v>
      </c>
    </row>
    <row r="21" spans="1:3" x14ac:dyDescent="0.35">
      <c r="A21">
        <f t="shared" ca="1" si="0"/>
        <v>34.711805183969126</v>
      </c>
      <c r="B21">
        <f t="shared" ca="1" si="1"/>
        <v>65.443387238176626</v>
      </c>
      <c r="C21">
        <f t="shared" ca="1" si="2"/>
        <v>46.960231852149789</v>
      </c>
    </row>
    <row r="22" spans="1:3" x14ac:dyDescent="0.35">
      <c r="A22">
        <f t="shared" ca="1" si="0"/>
        <v>31.285304790622959</v>
      </c>
      <c r="B22">
        <f t="shared" ca="1" si="1"/>
        <v>86.257147633004962</v>
      </c>
      <c r="C22">
        <f t="shared" ca="1" si="2"/>
        <v>41.806952749502059</v>
      </c>
    </row>
    <row r="23" spans="1:3" x14ac:dyDescent="0.35">
      <c r="A23">
        <f t="shared" ca="1" si="0"/>
        <v>30.009934825454572</v>
      </c>
      <c r="B23">
        <f t="shared" ca="1" si="1"/>
        <v>104.65505579662972</v>
      </c>
      <c r="C23">
        <f t="shared" ca="1" si="2"/>
        <v>2.5386166086600519</v>
      </c>
    </row>
    <row r="24" spans="1:3" x14ac:dyDescent="0.35">
      <c r="A24">
        <f t="shared" ca="1" si="0"/>
        <v>20.686157182881544</v>
      </c>
      <c r="B24">
        <f t="shared" ca="1" si="1"/>
        <v>36.822394509368948</v>
      </c>
      <c r="C24">
        <f t="shared" ca="1" si="2"/>
        <v>30.273461712877818</v>
      </c>
    </row>
    <row r="25" spans="1:3" x14ac:dyDescent="0.35">
      <c r="A25">
        <f t="shared" ca="1" si="0"/>
        <v>33.715404183780407</v>
      </c>
      <c r="B25">
        <f t="shared" ca="1" si="1"/>
        <v>99.615219399026756</v>
      </c>
      <c r="C25">
        <f t="shared" ca="1" si="2"/>
        <v>5.944900665477955</v>
      </c>
    </row>
    <row r="26" spans="1:3" x14ac:dyDescent="0.35">
      <c r="A26">
        <f t="shared" ca="1" si="0"/>
        <v>21.482839013700278</v>
      </c>
      <c r="B26">
        <f t="shared" ca="1" si="1"/>
        <v>60.531532238904134</v>
      </c>
      <c r="C26">
        <f t="shared" ca="1" si="2"/>
        <v>47.279905214722064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9F16CB36-8FEE-407D-B55E-18E70830D097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EA5917FB-8B08-49DC-BD43-5BAAF7444F50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Gauss Bell random points real m</vt:lpstr>
      <vt:lpstr>Graphs from BOXVIA</vt:lpstr>
      <vt:lpstr>Graphs from data</vt:lpstr>
      <vt:lpstr>BTW, the function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Giancarlo Pascali</cp:lastModifiedBy>
  <dcterms:created xsi:type="dcterms:W3CDTF">2023-02-11T00:02:51Z</dcterms:created>
  <dcterms:modified xsi:type="dcterms:W3CDTF">2026-03-09T00:52:00Z</dcterms:modified>
</cp:coreProperties>
</file>