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272903_ad_unsw_edu_au/Documents/Experimental/BOXVIA/Model functions/"/>
    </mc:Choice>
  </mc:AlternateContent>
  <xr:revisionPtr revIDLastSave="1167" documentId="13_ncr:1_{B3C1B415-E01B-4F1D-A315-AA1BA50389A0}" xr6:coauthVersionLast="47" xr6:coauthVersionMax="47" xr10:uidLastSave="{36530D2A-8928-4C9C-A9BE-E1E4B6128B3F}"/>
  <bookViews>
    <workbookView xWindow="14235" yWindow="-16320" windowWidth="29040" windowHeight="15720" activeTab="2" xr2:uid="{3ADFAA4B-9CE5-46DA-BE6C-0FC5B1FF7D9A}"/>
  </bookViews>
  <sheets>
    <sheet name="Goldstein-Price" sheetId="1" r:id="rId1"/>
    <sheet name="Double Gauss Bell" sheetId="3" r:id="rId2"/>
    <sheet name="several Gauss Bell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4" l="1"/>
  <c r="E11" i="4"/>
  <c r="E10" i="4"/>
  <c r="E7" i="4"/>
  <c r="E8" i="4"/>
  <c r="E9" i="4"/>
  <c r="A6" i="4"/>
  <c r="A3" i="4"/>
  <c r="B3" i="4"/>
  <c r="C3" i="4"/>
  <c r="D3" i="4"/>
  <c r="A4" i="4"/>
  <c r="B4" i="4"/>
  <c r="C4" i="4"/>
  <c r="D4" i="4"/>
  <c r="A5" i="4"/>
  <c r="B5" i="4"/>
  <c r="C5" i="4"/>
  <c r="D5" i="4"/>
  <c r="B6" i="4"/>
  <c r="C6" i="4"/>
  <c r="D6" i="4"/>
  <c r="G2" i="3"/>
  <c r="D2" i="4"/>
  <c r="C2" i="4"/>
  <c r="B2" i="4"/>
  <c r="G3" i="3"/>
  <c r="G4" i="3"/>
  <c r="G5" i="3"/>
  <c r="G6" i="3"/>
  <c r="G7" i="3"/>
  <c r="G8" i="3"/>
  <c r="G9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2" i="3"/>
  <c r="A3" i="1"/>
  <c r="B3" i="1"/>
  <c r="A4" i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  <c r="A32" i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A44" i="1"/>
  <c r="B44" i="1"/>
  <c r="A45" i="1"/>
  <c r="B45" i="1"/>
  <c r="A46" i="1"/>
  <c r="B46" i="1"/>
  <c r="A47" i="1"/>
  <c r="B47" i="1"/>
  <c r="A48" i="1"/>
  <c r="B48" i="1"/>
  <c r="A49" i="1"/>
  <c r="B49" i="1"/>
  <c r="A50" i="1"/>
  <c r="B50" i="1"/>
  <c r="A51" i="1"/>
  <c r="B51" i="1"/>
  <c r="B2" i="1"/>
  <c r="A2" i="1"/>
  <c r="E2" i="4" l="1"/>
  <c r="E6" i="4"/>
  <c r="E5" i="4"/>
  <c r="E4" i="4"/>
  <c r="E3" i="4"/>
  <c r="C48" i="3"/>
  <c r="C44" i="3"/>
  <c r="C40" i="3"/>
  <c r="C36" i="3"/>
  <c r="C32" i="3"/>
  <c r="C28" i="3"/>
  <c r="C24" i="3"/>
  <c r="C20" i="3"/>
  <c r="C2" i="3"/>
  <c r="C16" i="3"/>
  <c r="C12" i="3"/>
  <c r="C51" i="3"/>
  <c r="C47" i="3"/>
  <c r="C43" i="3"/>
  <c r="C39" i="3"/>
  <c r="C35" i="3"/>
  <c r="C31" i="3"/>
  <c r="C27" i="3"/>
  <c r="C23" i="3"/>
  <c r="C19" i="3"/>
  <c r="C15" i="3"/>
  <c r="C8" i="3"/>
  <c r="C11" i="3"/>
  <c r="C7" i="3"/>
  <c r="C4" i="3"/>
  <c r="C3" i="3"/>
  <c r="C49" i="3"/>
  <c r="C45" i="3"/>
  <c r="C41" i="3"/>
  <c r="C50" i="3"/>
  <c r="C46" i="3"/>
  <c r="C34" i="3"/>
  <c r="C30" i="3"/>
  <c r="C18" i="3"/>
  <c r="C37" i="3"/>
  <c r="C33" i="3"/>
  <c r="C29" i="3"/>
  <c r="C25" i="3"/>
  <c r="C21" i="3"/>
  <c r="C17" i="3"/>
  <c r="C13" i="3"/>
  <c r="C14" i="3"/>
  <c r="C9" i="3"/>
  <c r="C42" i="3"/>
  <c r="C38" i="3"/>
  <c r="C26" i="3"/>
  <c r="C22" i="3"/>
  <c r="C10" i="3"/>
  <c r="C6" i="3"/>
  <c r="C5" i="3"/>
  <c r="C50" i="1"/>
  <c r="C46" i="1"/>
  <c r="C42" i="1"/>
  <c r="C34" i="1"/>
  <c r="C30" i="1"/>
  <c r="C26" i="1"/>
  <c r="C18" i="1"/>
  <c r="C14" i="1"/>
  <c r="C10" i="1"/>
  <c r="C6" i="1"/>
  <c r="C2" i="1"/>
  <c r="C48" i="1"/>
  <c r="C44" i="1"/>
  <c r="C40" i="1"/>
  <c r="C38" i="1"/>
  <c r="C36" i="1"/>
  <c r="C32" i="1"/>
  <c r="C28" i="1"/>
  <c r="C24" i="1"/>
  <c r="C22" i="1"/>
  <c r="C20" i="1"/>
  <c r="C16" i="1"/>
  <c r="C12" i="1"/>
  <c r="C8" i="1"/>
  <c r="C4" i="1"/>
  <c r="C51" i="1"/>
  <c r="C49" i="1"/>
  <c r="C47" i="1"/>
  <c r="C45" i="1"/>
  <c r="C43" i="1"/>
  <c r="C41" i="1"/>
  <c r="C39" i="1"/>
  <c r="C37" i="1"/>
  <c r="C35" i="1"/>
  <c r="C33" i="1"/>
  <c r="C31" i="1"/>
  <c r="C29" i="1"/>
  <c r="C27" i="1"/>
  <c r="C25" i="1"/>
  <c r="C23" i="1"/>
  <c r="C21" i="1"/>
  <c r="C19" i="1"/>
  <c r="C17" i="1"/>
  <c r="C15" i="1"/>
  <c r="C13" i="1"/>
  <c r="C11" i="1"/>
  <c r="C9" i="1"/>
  <c r="C7" i="1"/>
  <c r="C5" i="1"/>
  <c r="C3" i="1"/>
</calcChain>
</file>

<file path=xl/sharedStrings.xml><?xml version="1.0" encoding="utf-8"?>
<sst xmlns="http://schemas.openxmlformats.org/spreadsheetml/2006/main" count="34" uniqueCount="28">
  <si>
    <t>Reaction time</t>
  </si>
  <si>
    <t>Yield</t>
  </si>
  <si>
    <t>Temperature</t>
  </si>
  <si>
    <t>x</t>
  </si>
  <si>
    <t>y</t>
  </si>
  <si>
    <t>GB</t>
  </si>
  <si>
    <t>Fake maximum</t>
  </si>
  <si>
    <t>real maximum</t>
  </si>
  <si>
    <t>0.2,0.2</t>
  </si>
  <si>
    <t>0.6,0.7</t>
  </si>
  <si>
    <t>60*e^{(-((x-0.2)^2/(2*0.2^2)+(y-0.2)^2/(2*0.2^2)))}+85*e^{(-((x-0.6)^2/(2*0.2^2)+(y-0.7)^2/(2*0.2^2)))}</t>
  </si>
  <si>
    <t>Time (min)</t>
  </si>
  <si>
    <t>Yield (%)</t>
  </si>
  <si>
    <t>60*e^{(-((x-40)^2/(2*25^2)+(y-50)^2/(2*15^2)))}+85*e^{(-((x-15)^2/(2*15^2)+(y-80)^2/(2*10^2)))}</t>
  </si>
  <si>
    <t>40min, 50C</t>
  </si>
  <si>
    <t>15min, 80C</t>
  </si>
  <si>
    <t>Temperature (C)</t>
  </si>
  <si>
    <t>Pressure (Bar)</t>
  </si>
  <si>
    <t>Concentration (mM)</t>
  </si>
  <si>
    <t>Real maximum</t>
  </si>
  <si>
    <t>40min, 50C, 5Bar, 20mM</t>
  </si>
  <si>
    <t>15min, 80C, 3Bar, 50mM</t>
  </si>
  <si>
    <t>60*EXP(-((num1-40)^2/(2*25^2)+(num2-50)^2/(2*15^2)+(num3-5)^2/(2*20^2)+(num4-20)^2/(2*25^2)))+85*EXP(-((num1-15)^2/(2*15^2)+(num2-80)^2/(2*10^2)+(num3-3)^2/(2*15^2)+(num4-50)^2/(2*25^2)))+Bonus(Cat1)+Bouns(Cat2)+Bonus(Cat3)</t>
  </si>
  <si>
    <t>40*EXP(-((num1-30)^2/(2*25^2)+(num2-90)^2/(2*15^2)+(num3-7)^2/(2*20^2)+(num4-30)^2/(2*25^2)))+75*EXP(-((num1-25)^2/(2*15^2)+(num2-60)^2/(2*10^2)+(num3-2)^2/(2*15^2)+(num4-10)^2/(2*25^2)))+Bonus(Cat1)+Bouns(Cat2)+Bonus(Cat3)</t>
  </si>
  <si>
    <t>Cat1: A=10, B=2, C=3</t>
  </si>
  <si>
    <t>Cat2: A=7, B=0, C=8</t>
  </si>
  <si>
    <t>Obj1</t>
  </si>
  <si>
    <t>Obj2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</si>
</sst>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1" fontId="0" fillId="0" borderId="0" xfId="0" applyNumberFormat="1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F3340-05C3-404A-9F8F-0082140DE91F}">
  <dimension ref="A1:C51"/>
  <sheetViews>
    <sheetView topLeftCell="A16" workbookViewId="0">
      <selection activeCell="E7" sqref="E7"/>
    </sheetView>
  </sheetViews>
  <sheetFormatPr defaultRowHeight="14.5" x14ac:dyDescent="0.35"/>
  <cols>
    <col min="1" max="1" width="11.90625" bestFit="1" customWidth="1"/>
    <col min="2" max="2" width="11.6328125" bestFit="1" customWidth="1"/>
    <col min="3" max="3" width="11.7265625" bestFit="1" customWidth="1"/>
  </cols>
  <sheetData>
    <row r="1" spans="1:3" x14ac:dyDescent="0.35">
      <c r="A1" t="s">
        <v>2</v>
      </c>
      <c r="B1" t="s">
        <v>0</v>
      </c>
      <c r="C1" t="s">
        <v>1</v>
      </c>
    </row>
    <row r="2" spans="1:3" x14ac:dyDescent="0.35">
      <c r="A2">
        <f ca="1">RAND()*10-5</f>
        <v>1.8969927959941</v>
      </c>
      <c r="B2">
        <f ca="1">RAND()*10-5</f>
        <v>3.790352893936106</v>
      </c>
      <c r="C2">
        <f ca="1">(1 + (A2 + B2 + 1)^2 * (19 - 14*A2 + 3*A2^2 - 14*B2 + 6*A2*B2 + 3*B2^2)) * (30 + (2*A2 - 3*B2)^2 * (18 - 32*A2 + 12*A2^2 + 48*B2 - 36*A2*B2 + 27*B2^2))*EXP(-0.1*(A2^2+B2^2))</f>
        <v>4841427.8391259257</v>
      </c>
    </row>
    <row r="3" spans="1:3" x14ac:dyDescent="0.35">
      <c r="A3">
        <f t="shared" ref="A3:B34" ca="1" si="0">RAND()*10-5</f>
        <v>4.021600584140387</v>
      </c>
      <c r="B3">
        <f t="shared" ca="1" si="0"/>
        <v>-4.2593025136887528</v>
      </c>
      <c r="C3">
        <f t="shared" ref="C3:C51" ca="1" si="1">(1 + (A3 + B3 + 1)^2 * (19 - 14*A3 + 3*A3^2 - 14*B3 + 6*A3*B3 + 3*B3^2)) * (30 + (2*A3 - 3*B3)^2 * (18 - 32*A3 + 12*A3^2 + 48*B3 - 36*A3*B3 + 27*B3^2))*EXP(-0.1*(A3^2+B3^2))</f>
        <v>194433.89148124453</v>
      </c>
    </row>
    <row r="4" spans="1:3" x14ac:dyDescent="0.35">
      <c r="A4">
        <f t="shared" ca="1" si="0"/>
        <v>0.11592275652128148</v>
      </c>
      <c r="B4">
        <f t="shared" ca="1" si="0"/>
        <v>-3.5480808075624051</v>
      </c>
      <c r="C4">
        <f t="shared" ca="1" si="1"/>
        <v>4051993.519631438</v>
      </c>
    </row>
    <row r="5" spans="1:3" x14ac:dyDescent="0.35">
      <c r="A5">
        <f t="shared" ca="1" si="0"/>
        <v>4.5683419517559685</v>
      </c>
      <c r="B5">
        <f t="shared" ca="1" si="0"/>
        <v>4.99466752850992</v>
      </c>
      <c r="C5">
        <f t="shared" ca="1" si="1"/>
        <v>1339266.8052856743</v>
      </c>
    </row>
    <row r="6" spans="1:3" x14ac:dyDescent="0.35">
      <c r="A6">
        <f t="shared" ca="1" si="0"/>
        <v>-4.3141018297898714</v>
      </c>
      <c r="B6">
        <f t="shared" ca="1" si="0"/>
        <v>-2.8864002522052976</v>
      </c>
      <c r="C6">
        <f t="shared" ca="1" si="1"/>
        <v>21479.906339818659</v>
      </c>
    </row>
    <row r="7" spans="1:3" x14ac:dyDescent="0.35">
      <c r="A7">
        <f t="shared" ca="1" si="0"/>
        <v>1.8659411349151744</v>
      </c>
      <c r="B7">
        <f t="shared" ca="1" si="0"/>
        <v>-1.844330693813272</v>
      </c>
      <c r="C7">
        <f t="shared" ca="1" si="1"/>
        <v>112918.65741575749</v>
      </c>
    </row>
    <row r="8" spans="1:3" x14ac:dyDescent="0.35">
      <c r="A8">
        <f t="shared" ca="1" si="0"/>
        <v>3.4122326350031571</v>
      </c>
      <c r="B8">
        <f t="shared" ca="1" si="0"/>
        <v>1.2844626806044781</v>
      </c>
      <c r="C8">
        <f t="shared" ca="1" si="1"/>
        <v>506.20668470202594</v>
      </c>
    </row>
    <row r="9" spans="1:3" x14ac:dyDescent="0.35">
      <c r="A9">
        <f t="shared" ca="1" si="0"/>
        <v>3.7757424681689482</v>
      </c>
      <c r="B9">
        <f t="shared" ca="1" si="0"/>
        <v>3.5386184246510552</v>
      </c>
      <c r="C9">
        <f t="shared" ca="1" si="1"/>
        <v>338445.35578674829</v>
      </c>
    </row>
    <row r="10" spans="1:3" x14ac:dyDescent="0.35">
      <c r="A10">
        <f t="shared" ca="1" si="0"/>
        <v>2.4364436473243876</v>
      </c>
      <c r="B10">
        <f t="shared" ca="1" si="0"/>
        <v>-3.4105074425573658</v>
      </c>
      <c r="C10">
        <f t="shared" ca="1" si="1"/>
        <v>18581.854758850634</v>
      </c>
    </row>
    <row r="11" spans="1:3" x14ac:dyDescent="0.35">
      <c r="A11">
        <f t="shared" ca="1" si="0"/>
        <v>-1.3073776669041006</v>
      </c>
      <c r="B11">
        <f t="shared" ca="1" si="0"/>
        <v>-3.4529091747053622</v>
      </c>
      <c r="C11">
        <f t="shared" ca="1" si="1"/>
        <v>2484212.1495736088</v>
      </c>
    </row>
    <row r="12" spans="1:3" x14ac:dyDescent="0.35">
      <c r="A12">
        <f t="shared" ca="1" si="0"/>
        <v>-1.9227065139747204</v>
      </c>
      <c r="B12">
        <f t="shared" ca="1" si="0"/>
        <v>1.7363203488769239</v>
      </c>
      <c r="C12">
        <f t="shared" ca="1" si="1"/>
        <v>263590.43620410591</v>
      </c>
    </row>
    <row r="13" spans="1:3" x14ac:dyDescent="0.35">
      <c r="A13">
        <f t="shared" ca="1" si="0"/>
        <v>2.4795589198719181</v>
      </c>
      <c r="B13">
        <f t="shared" ca="1" si="0"/>
        <v>0.79815045240159677</v>
      </c>
      <c r="C13">
        <f t="shared" ca="1" si="1"/>
        <v>414.88402856194745</v>
      </c>
    </row>
    <row r="14" spans="1:3" x14ac:dyDescent="0.35">
      <c r="A14">
        <f t="shared" ca="1" si="0"/>
        <v>-3.2871221322753641</v>
      </c>
      <c r="B14">
        <f t="shared" ca="1" si="0"/>
        <v>0.11840967683678816</v>
      </c>
      <c r="C14">
        <f t="shared" ca="1" si="1"/>
        <v>1961972.7672065853</v>
      </c>
    </row>
    <row r="15" spans="1:3" x14ac:dyDescent="0.35">
      <c r="A15">
        <f t="shared" ca="1" si="0"/>
        <v>4.1389217670977327</v>
      </c>
      <c r="B15">
        <f t="shared" ca="1" si="0"/>
        <v>-1.8111781517852732</v>
      </c>
      <c r="C15">
        <f t="shared" ca="1" si="1"/>
        <v>270467.80300127383</v>
      </c>
    </row>
    <row r="16" spans="1:3" x14ac:dyDescent="0.35">
      <c r="A16">
        <f t="shared" ca="1" si="0"/>
        <v>1.5770495660955275</v>
      </c>
      <c r="B16">
        <f t="shared" ca="1" si="0"/>
        <v>0.98735277561428969</v>
      </c>
      <c r="C16">
        <f t="shared" ca="1" si="1"/>
        <v>797.86319224476119</v>
      </c>
    </row>
    <row r="17" spans="1:3" x14ac:dyDescent="0.35">
      <c r="A17">
        <f t="shared" ca="1" si="0"/>
        <v>1.632944876712247</v>
      </c>
      <c r="B17">
        <f t="shared" ca="1" si="0"/>
        <v>-2.3241722465273762</v>
      </c>
      <c r="C17">
        <f t="shared" ca="1" si="1"/>
        <v>30592.077841962473</v>
      </c>
    </row>
    <row r="18" spans="1:3" x14ac:dyDescent="0.35">
      <c r="A18">
        <f t="shared" ca="1" si="0"/>
        <v>-0.51674490654318372</v>
      </c>
      <c r="B18">
        <f t="shared" ca="1" si="0"/>
        <v>-2.3824521530963185</v>
      </c>
      <c r="C18">
        <f t="shared" ca="1" si="1"/>
        <v>209690.55692259595</v>
      </c>
    </row>
    <row r="19" spans="1:3" x14ac:dyDescent="0.35">
      <c r="A19">
        <f t="shared" ca="1" si="0"/>
        <v>4.9927244281335419</v>
      </c>
      <c r="B19">
        <f t="shared" ca="1" si="0"/>
        <v>-1.7120434893423275</v>
      </c>
      <c r="C19">
        <f t="shared" ca="1" si="1"/>
        <v>646604.96726514166</v>
      </c>
    </row>
    <row r="20" spans="1:3" x14ac:dyDescent="0.35">
      <c r="A20">
        <f t="shared" ca="1" si="0"/>
        <v>-2.4483573269713963</v>
      </c>
      <c r="B20">
        <f t="shared" ca="1" si="0"/>
        <v>-4.4149725936660751</v>
      </c>
      <c r="C20">
        <f t="shared" ca="1" si="1"/>
        <v>4512525.1573511437</v>
      </c>
    </row>
    <row r="21" spans="1:3" x14ac:dyDescent="0.35">
      <c r="A21">
        <f t="shared" ca="1" si="0"/>
        <v>-0.8533991626436519</v>
      </c>
      <c r="B21">
        <f t="shared" ca="1" si="0"/>
        <v>0.88137437815447939</v>
      </c>
      <c r="C21">
        <f t="shared" ca="1" si="1"/>
        <v>49134.918710399041</v>
      </c>
    </row>
    <row r="22" spans="1:3" x14ac:dyDescent="0.35">
      <c r="A22">
        <f t="shared" ca="1" si="0"/>
        <v>2.72263498769634</v>
      </c>
      <c r="B22">
        <f t="shared" ca="1" si="0"/>
        <v>2.2169664387570007</v>
      </c>
      <c r="C22">
        <f t="shared" ca="1" si="1"/>
        <v>21482.167479613723</v>
      </c>
    </row>
    <row r="23" spans="1:3" x14ac:dyDescent="0.35">
      <c r="A23">
        <f t="shared" ca="1" si="0"/>
        <v>-4.3617520960193312</v>
      </c>
      <c r="B23">
        <f t="shared" ca="1" si="0"/>
        <v>-1.2042914982367217</v>
      </c>
      <c r="C23">
        <f t="shared" ca="1" si="1"/>
        <v>2392653.649702739</v>
      </c>
    </row>
    <row r="24" spans="1:3" x14ac:dyDescent="0.35">
      <c r="A24">
        <f t="shared" ca="1" si="0"/>
        <v>3.3194182413038504</v>
      </c>
      <c r="B24">
        <f t="shared" ca="1" si="0"/>
        <v>1.3254180096925179</v>
      </c>
      <c r="C24">
        <f t="shared" ca="1" si="1"/>
        <v>1059.3450499890694</v>
      </c>
    </row>
    <row r="25" spans="1:3" x14ac:dyDescent="0.35">
      <c r="A25">
        <f t="shared" ca="1" si="0"/>
        <v>4.4164934457322218</v>
      </c>
      <c r="B25">
        <f t="shared" ca="1" si="0"/>
        <v>0.11983329110526419</v>
      </c>
      <c r="C25">
        <f t="shared" ca="1" si="1"/>
        <v>529838.1764348204</v>
      </c>
    </row>
    <row r="26" spans="1:3" x14ac:dyDescent="0.35">
      <c r="A26">
        <f t="shared" ca="1" si="0"/>
        <v>0.29774458144204541</v>
      </c>
      <c r="B26">
        <f t="shared" ca="1" si="0"/>
        <v>4.5976099842953495</v>
      </c>
      <c r="C26">
        <f t="shared" ca="1" si="1"/>
        <v>12197105.28055618</v>
      </c>
    </row>
    <row r="27" spans="1:3" x14ac:dyDescent="0.35">
      <c r="A27">
        <f t="shared" ca="1" si="0"/>
        <v>0.1827017576891441</v>
      </c>
      <c r="B27">
        <f t="shared" ca="1" si="0"/>
        <v>-3.0248693701527021</v>
      </c>
      <c r="C27">
        <f t="shared" ca="1" si="1"/>
        <v>1354227.5618342559</v>
      </c>
    </row>
    <row r="28" spans="1:3" x14ac:dyDescent="0.35">
      <c r="A28">
        <f t="shared" ca="1" si="0"/>
        <v>-2.9210196732307905</v>
      </c>
      <c r="B28">
        <f t="shared" ca="1" si="0"/>
        <v>2.5409150534332348</v>
      </c>
      <c r="C28">
        <f t="shared" ca="1" si="1"/>
        <v>331026.86905907246</v>
      </c>
    </row>
    <row r="29" spans="1:3" x14ac:dyDescent="0.35">
      <c r="A29">
        <f t="shared" ca="1" si="0"/>
        <v>-0.63274859704425523</v>
      </c>
      <c r="B29">
        <f t="shared" ca="1" si="0"/>
        <v>1.3957785214289693</v>
      </c>
      <c r="C29">
        <f t="shared" ca="1" si="1"/>
        <v>148340.02412615053</v>
      </c>
    </row>
    <row r="30" spans="1:3" x14ac:dyDescent="0.35">
      <c r="A30">
        <f t="shared" ca="1" si="0"/>
        <v>4.7064175509529775</v>
      </c>
      <c r="B30">
        <f t="shared" ca="1" si="0"/>
        <v>-0.37631417464820682</v>
      </c>
      <c r="C30">
        <f t="shared" ca="1" si="1"/>
        <v>911636.93224728457</v>
      </c>
    </row>
    <row r="31" spans="1:3" x14ac:dyDescent="0.35">
      <c r="A31">
        <f t="shared" ca="1" si="0"/>
        <v>4.3579393499535612</v>
      </c>
      <c r="B31">
        <f t="shared" ca="1" si="0"/>
        <v>-0.80077358048112579</v>
      </c>
      <c r="C31">
        <f t="shared" ca="1" si="1"/>
        <v>548678.84033784864</v>
      </c>
    </row>
    <row r="32" spans="1:3" x14ac:dyDescent="0.35">
      <c r="A32">
        <f t="shared" ca="1" si="0"/>
        <v>-0.89698071695389991</v>
      </c>
      <c r="B32">
        <f t="shared" ca="1" si="0"/>
        <v>-4.7093230268162856</v>
      </c>
      <c r="C32">
        <f t="shared" ca="1" si="1"/>
        <v>17241125.269324951</v>
      </c>
    </row>
    <row r="33" spans="1:3" x14ac:dyDescent="0.35">
      <c r="A33">
        <f t="shared" ca="1" si="0"/>
        <v>-1.758519441941877</v>
      </c>
      <c r="B33">
        <f t="shared" ca="1" si="0"/>
        <v>-1.3466245827617698</v>
      </c>
      <c r="C33">
        <f t="shared" ca="1" si="1"/>
        <v>8168.7152325757643</v>
      </c>
    </row>
    <row r="34" spans="1:3" x14ac:dyDescent="0.35">
      <c r="A34">
        <f t="shared" ca="1" si="0"/>
        <v>-0.61135399993557638</v>
      </c>
      <c r="B34">
        <f t="shared" ca="1" si="0"/>
        <v>0.21889295666728348</v>
      </c>
      <c r="C34">
        <f t="shared" ca="1" si="1"/>
        <v>2322.3188313742662</v>
      </c>
    </row>
    <row r="35" spans="1:3" x14ac:dyDescent="0.35">
      <c r="A35">
        <f t="shared" ref="A35:B51" ca="1" si="2">RAND()*10-5</f>
        <v>4.2988158771390559</v>
      </c>
      <c r="B35">
        <f t="shared" ca="1" si="2"/>
        <v>-2.8914095356150602</v>
      </c>
      <c r="C35">
        <f t="shared" ca="1" si="1"/>
        <v>406780.77658154641</v>
      </c>
    </row>
    <row r="36" spans="1:3" x14ac:dyDescent="0.35">
      <c r="A36">
        <f t="shared" ca="1" si="2"/>
        <v>-4.1966096526468553</v>
      </c>
      <c r="B36">
        <f t="shared" ca="1" si="2"/>
        <v>-1.7136415886507219</v>
      </c>
      <c r="C36">
        <f t="shared" ca="1" si="1"/>
        <v>706044.86409160472</v>
      </c>
    </row>
    <row r="37" spans="1:3" x14ac:dyDescent="0.35">
      <c r="A37">
        <f t="shared" ca="1" si="2"/>
        <v>-1.9604151350051979</v>
      </c>
      <c r="B37">
        <f t="shared" ca="1" si="2"/>
        <v>-4.2133031340867619</v>
      </c>
      <c r="C37">
        <f t="shared" ca="1" si="1"/>
        <v>5520049.3387198402</v>
      </c>
    </row>
    <row r="38" spans="1:3" x14ac:dyDescent="0.35">
      <c r="A38">
        <f t="shared" ca="1" si="2"/>
        <v>-0.41067260549704798</v>
      </c>
      <c r="B38">
        <f t="shared" ca="1" si="2"/>
        <v>-4.9523977800147367</v>
      </c>
      <c r="C38">
        <f t="shared" ca="1" si="1"/>
        <v>22022694.97249271</v>
      </c>
    </row>
    <row r="39" spans="1:3" x14ac:dyDescent="0.35">
      <c r="A39">
        <f t="shared" ca="1" si="2"/>
        <v>0.18402932456785148</v>
      </c>
      <c r="B39">
        <f t="shared" ca="1" si="2"/>
        <v>-2.1407654544637178</v>
      </c>
      <c r="C39">
        <f t="shared" ca="1" si="1"/>
        <v>75814.783246027306</v>
      </c>
    </row>
    <row r="40" spans="1:3" x14ac:dyDescent="0.35">
      <c r="A40">
        <f t="shared" ca="1" si="2"/>
        <v>-1.4149615306926364</v>
      </c>
      <c r="B40">
        <f t="shared" ca="1" si="2"/>
        <v>-2.2867432552051579</v>
      </c>
      <c r="C40">
        <f t="shared" ca="1" si="1"/>
        <v>26383.507197084702</v>
      </c>
    </row>
    <row r="41" spans="1:3" x14ac:dyDescent="0.35">
      <c r="A41">
        <f t="shared" ca="1" si="2"/>
        <v>-2.145210266540214</v>
      </c>
      <c r="B41">
        <f t="shared" ca="1" si="2"/>
        <v>0.73275718484675156</v>
      </c>
      <c r="C41">
        <f t="shared" ca="1" si="1"/>
        <v>53986.041138174427</v>
      </c>
    </row>
    <row r="42" spans="1:3" x14ac:dyDescent="0.35">
      <c r="A42">
        <f t="shared" ca="1" si="2"/>
        <v>4.5378067346555575</v>
      </c>
      <c r="B42">
        <f t="shared" ca="1" si="2"/>
        <v>-4.1250088133585177</v>
      </c>
      <c r="C42">
        <f t="shared" ca="1" si="1"/>
        <v>320939.62555066601</v>
      </c>
    </row>
    <row r="43" spans="1:3" x14ac:dyDescent="0.35">
      <c r="A43">
        <f t="shared" ca="1" si="2"/>
        <v>-4.2350880517840661</v>
      </c>
      <c r="B43">
        <f t="shared" ca="1" si="2"/>
        <v>3.6493909252755152</v>
      </c>
      <c r="C43">
        <f t="shared" ca="1" si="1"/>
        <v>141333.0098291444</v>
      </c>
    </row>
    <row r="44" spans="1:3" x14ac:dyDescent="0.35">
      <c r="A44">
        <f t="shared" ca="1" si="2"/>
        <v>4.4709529650878181</v>
      </c>
      <c r="B44">
        <f t="shared" ca="1" si="2"/>
        <v>2.4408689853299705</v>
      </c>
      <c r="C44">
        <f t="shared" ca="1" si="1"/>
        <v>9159.9682365007066</v>
      </c>
    </row>
    <row r="45" spans="1:3" x14ac:dyDescent="0.35">
      <c r="A45">
        <f t="shared" ca="1" si="2"/>
        <v>1.0582806892363497</v>
      </c>
      <c r="B45">
        <f t="shared" ca="1" si="2"/>
        <v>-4.7136893791281604</v>
      </c>
      <c r="C45">
        <f t="shared" ca="1" si="1"/>
        <v>10986488.822462669</v>
      </c>
    </row>
    <row r="46" spans="1:3" x14ac:dyDescent="0.35">
      <c r="A46">
        <f t="shared" ca="1" si="2"/>
        <v>-3.1597737960854513</v>
      </c>
      <c r="B46">
        <f t="shared" ca="1" si="2"/>
        <v>0.64775647966254812</v>
      </c>
      <c r="C46">
        <f t="shared" ca="1" si="1"/>
        <v>1441589.1544282956</v>
      </c>
    </row>
    <row r="47" spans="1:3" x14ac:dyDescent="0.35">
      <c r="A47">
        <f t="shared" ca="1" si="2"/>
        <v>0.97418554294558124</v>
      </c>
      <c r="B47">
        <f t="shared" ca="1" si="2"/>
        <v>-0.76262470699024565</v>
      </c>
      <c r="C47">
        <f t="shared" ca="1" si="1"/>
        <v>2182.5243927064093</v>
      </c>
    </row>
    <row r="48" spans="1:3" x14ac:dyDescent="0.35">
      <c r="A48">
        <f t="shared" ca="1" si="2"/>
        <v>-0.70578389076702663</v>
      </c>
      <c r="B48">
        <f t="shared" ca="1" si="2"/>
        <v>0.49877147368996333</v>
      </c>
      <c r="C48">
        <f t="shared" ca="1" si="1"/>
        <v>10889.610355182676</v>
      </c>
    </row>
    <row r="49" spans="1:3" x14ac:dyDescent="0.35">
      <c r="A49">
        <f t="shared" ca="1" si="2"/>
        <v>-2.7529336135220781</v>
      </c>
      <c r="B49">
        <f t="shared" ca="1" si="2"/>
        <v>-2.6096080152318168</v>
      </c>
      <c r="C49">
        <f t="shared" ca="1" si="1"/>
        <v>11340.319043877957</v>
      </c>
    </row>
    <row r="50" spans="1:3" x14ac:dyDescent="0.35">
      <c r="A50">
        <f t="shared" ca="1" si="2"/>
        <v>-2.1579690379220273</v>
      </c>
      <c r="B50">
        <f t="shared" ca="1" si="2"/>
        <v>1.491185943638369</v>
      </c>
      <c r="C50">
        <f t="shared" ca="1" si="1"/>
        <v>65153.39268621838</v>
      </c>
    </row>
    <row r="51" spans="1:3" x14ac:dyDescent="0.35">
      <c r="A51">
        <f t="shared" ca="1" si="2"/>
        <v>-2.4036991017117937</v>
      </c>
      <c r="B51">
        <f t="shared" ca="1" si="2"/>
        <v>-3.9874092007118591</v>
      </c>
      <c r="C51">
        <f t="shared" ca="1" si="1"/>
        <v>2269243.2787336186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D4735-928B-4F82-8DAF-257082B9AAF9}">
  <dimension ref="A1:J51"/>
  <sheetViews>
    <sheetView workbookViewId="0">
      <selection activeCell="J2" sqref="J2"/>
    </sheetView>
  </sheetViews>
  <sheetFormatPr defaultRowHeight="14.5" x14ac:dyDescent="0.35"/>
  <cols>
    <col min="2" max="2" width="13.6328125" bestFit="1" customWidth="1"/>
    <col min="3" max="3" width="11.6328125" bestFit="1" customWidth="1"/>
    <col min="7" max="7" width="11.6328125" bestFit="1" customWidth="1"/>
    <col min="9" max="9" width="12.6328125" bestFit="1" customWidth="1"/>
  </cols>
  <sheetData>
    <row r="1" spans="1:10" x14ac:dyDescent="0.35">
      <c r="A1" t="s">
        <v>11</v>
      </c>
      <c r="B1" t="s">
        <v>16</v>
      </c>
      <c r="C1" t="s">
        <v>12</v>
      </c>
      <c r="E1" t="s">
        <v>3</v>
      </c>
      <c r="F1" t="s">
        <v>4</v>
      </c>
      <c r="G1" t="s">
        <v>5</v>
      </c>
    </row>
    <row r="2" spans="1:10" x14ac:dyDescent="0.35">
      <c r="A2">
        <f ca="1">RAND()*30+5</f>
        <v>17.674599841063184</v>
      </c>
      <c r="B2">
        <f ca="1">RAND()*80+30</f>
        <v>86.413526775982916</v>
      </c>
      <c r="C2">
        <f ca="1">60*EXP(-((A2-40)^2/(2*25^2)+(B2-50)^2/(2*15^2)))+85*EXP(-((A2-15)^2/(2*15^2)+(B2-80)^2/(2*10^2)))</f>
        <v>70.22255883064804</v>
      </c>
      <c r="E2">
        <v>16</v>
      </c>
      <c r="F2">
        <v>80</v>
      </c>
      <c r="G2">
        <f>60*EXP(-((E2-40)^2/(2*25^2)+(F2-50)^2/(2*15^2)))+85*EXP(-((E2-15)^2/(2*15^2)+(F2-80)^2/(2*10^2)))</f>
        <v>89.933318652583097</v>
      </c>
      <c r="I2" s="1" t="s">
        <v>6</v>
      </c>
      <c r="J2" s="1" t="s">
        <v>8</v>
      </c>
    </row>
    <row r="3" spans="1:10" x14ac:dyDescent="0.35">
      <c r="A3">
        <f t="shared" ref="A3:A51" ca="1" si="0">RAND()*30+5</f>
        <v>17.229980283998668</v>
      </c>
      <c r="B3">
        <f t="shared" ref="B3:B51" ca="1" si="1">RAND()*80+30</f>
        <v>30.648296806839845</v>
      </c>
      <c r="C3">
        <f t="shared" ref="C3:C51" ca="1" si="2">60*EXP(-((A3-40)^2/(2*25^2)+(B3-50)^2/(2*15^2)))+85*EXP(-((A3-15)^2/(2*15^2)+(B3-80)^2/(2*10^2)))</f>
        <v>17.242790524246875</v>
      </c>
      <c r="E3">
        <v>17</v>
      </c>
      <c r="F3">
        <v>80</v>
      </c>
      <c r="G3">
        <f t="shared" ref="G3:G9" si="3">60*EXP(-((E3-40)^2/(2*25^2)+(F3-50)^2/(2*15^2)))+85*EXP(-((E3-15)^2/(2*15^2)+(F3-80)^2/(2*10^2)))</f>
        <v>89.566043926121537</v>
      </c>
      <c r="I3" s="2" t="s">
        <v>7</v>
      </c>
      <c r="J3" s="3" t="s">
        <v>9</v>
      </c>
    </row>
    <row r="4" spans="1:10" x14ac:dyDescent="0.35">
      <c r="A4">
        <f t="shared" ca="1" si="0"/>
        <v>12.535208579589323</v>
      </c>
      <c r="B4">
        <f t="shared" ca="1" si="1"/>
        <v>42.615782289257574</v>
      </c>
      <c r="C4">
        <f t="shared" ca="1" si="2"/>
        <v>29.1478566343126</v>
      </c>
      <c r="E4">
        <v>15</v>
      </c>
      <c r="F4">
        <v>80</v>
      </c>
      <c r="G4">
        <f t="shared" si="3"/>
        <v>89.925099917433926</v>
      </c>
      <c r="I4" t="s">
        <v>10</v>
      </c>
    </row>
    <row r="5" spans="1:10" x14ac:dyDescent="0.35">
      <c r="A5">
        <f t="shared" ca="1" si="0"/>
        <v>22.208137376464769</v>
      </c>
      <c r="B5">
        <f t="shared" ca="1" si="1"/>
        <v>64.701515360865216</v>
      </c>
      <c r="C5">
        <f t="shared" ca="1" si="2"/>
        <v>52.311727884157833</v>
      </c>
      <c r="E5">
        <v>90</v>
      </c>
      <c r="F5">
        <v>100</v>
      </c>
      <c r="G5">
        <f t="shared" si="3"/>
        <v>3.1434593374058926E-2</v>
      </c>
    </row>
    <row r="6" spans="1:10" x14ac:dyDescent="0.35">
      <c r="A6">
        <f t="shared" ca="1" si="0"/>
        <v>7.4711099912237335</v>
      </c>
      <c r="B6">
        <f t="shared" ca="1" si="1"/>
        <v>63.493434087285948</v>
      </c>
      <c r="C6">
        <f t="shared" ca="1" si="2"/>
        <v>36.360532401067402</v>
      </c>
      <c r="E6">
        <v>50</v>
      </c>
      <c r="F6">
        <v>60</v>
      </c>
      <c r="G6">
        <f t="shared" si="3"/>
        <v>45.10653521588997</v>
      </c>
      <c r="I6" t="s">
        <v>13</v>
      </c>
    </row>
    <row r="7" spans="1:10" x14ac:dyDescent="0.35">
      <c r="A7">
        <f t="shared" ca="1" si="0"/>
        <v>26.306933864938795</v>
      </c>
      <c r="B7">
        <f t="shared" ca="1" si="1"/>
        <v>77.570230233186024</v>
      </c>
      <c r="C7">
        <f t="shared" ca="1" si="2"/>
        <v>71.654689805637361</v>
      </c>
      <c r="E7">
        <v>22</v>
      </c>
      <c r="F7">
        <v>81</v>
      </c>
      <c r="G7">
        <f t="shared" si="3"/>
        <v>81.322051696972053</v>
      </c>
      <c r="I7" s="1" t="s">
        <v>6</v>
      </c>
      <c r="J7" s="1" t="s">
        <v>14</v>
      </c>
    </row>
    <row r="8" spans="1:10" x14ac:dyDescent="0.35">
      <c r="A8">
        <f t="shared" ca="1" si="0"/>
        <v>10.598573134304253</v>
      </c>
      <c r="B8">
        <f t="shared" ca="1" si="1"/>
        <v>103.2279112073917</v>
      </c>
      <c r="C8">
        <f t="shared" ca="1" si="2"/>
        <v>5.5398742820070579</v>
      </c>
      <c r="E8">
        <v>22</v>
      </c>
      <c r="F8">
        <v>84</v>
      </c>
      <c r="G8">
        <f t="shared" si="3"/>
        <v>73.917215984644159</v>
      </c>
      <c r="I8" s="2" t="s">
        <v>7</v>
      </c>
      <c r="J8" s="2" t="s">
        <v>15</v>
      </c>
    </row>
    <row r="9" spans="1:10" x14ac:dyDescent="0.35">
      <c r="A9">
        <f t="shared" ca="1" si="0"/>
        <v>17.059707435055159</v>
      </c>
      <c r="B9">
        <f t="shared" ca="1" si="1"/>
        <v>78.622797686239494</v>
      </c>
      <c r="C9">
        <f t="shared" ca="1" si="2"/>
        <v>89.785010699066447</v>
      </c>
      <c r="E9">
        <v>22</v>
      </c>
      <c r="F9">
        <v>79</v>
      </c>
      <c r="G9">
        <f t="shared" si="3"/>
        <v>82.994230935727998</v>
      </c>
    </row>
    <row r="10" spans="1:10" x14ac:dyDescent="0.35">
      <c r="A10">
        <f t="shared" ca="1" si="0"/>
        <v>8.004909850261658</v>
      </c>
      <c r="B10">
        <f t="shared" ca="1" si="1"/>
        <v>34.080225614669885</v>
      </c>
      <c r="C10">
        <f t="shared" ca="1" si="2"/>
        <v>15.064352018226542</v>
      </c>
    </row>
    <row r="11" spans="1:10" x14ac:dyDescent="0.35">
      <c r="A11">
        <f t="shared" ca="1" si="0"/>
        <v>23.451854529146296</v>
      </c>
      <c r="B11">
        <f t="shared" ca="1" si="1"/>
        <v>38.741278036406001</v>
      </c>
      <c r="C11">
        <f t="shared" ca="1" si="2"/>
        <v>36.378811561280791</v>
      </c>
    </row>
    <row r="12" spans="1:10" x14ac:dyDescent="0.35">
      <c r="A12">
        <f t="shared" ca="1" si="0"/>
        <v>17.43242665017253</v>
      </c>
      <c r="B12">
        <f t="shared" ca="1" si="1"/>
        <v>43.883092479897847</v>
      </c>
      <c r="C12">
        <f t="shared" ca="1" si="2"/>
        <v>36.859475718046689</v>
      </c>
    </row>
    <row r="13" spans="1:10" x14ac:dyDescent="0.35">
      <c r="A13">
        <f t="shared" ca="1" si="0"/>
        <v>6.7304520843017599</v>
      </c>
      <c r="B13">
        <f t="shared" ca="1" si="1"/>
        <v>56.655949828198558</v>
      </c>
      <c r="C13">
        <f t="shared" ca="1" si="2"/>
        <v>27.217422437949388</v>
      </c>
    </row>
    <row r="14" spans="1:10" x14ac:dyDescent="0.35">
      <c r="A14">
        <f t="shared" ca="1" si="0"/>
        <v>17.629710878478907</v>
      </c>
      <c r="B14">
        <f t="shared" ca="1" si="1"/>
        <v>79.420451030140157</v>
      </c>
      <c r="C14">
        <f t="shared" ca="1" si="2"/>
        <v>89.437245467370019</v>
      </c>
    </row>
    <row r="15" spans="1:10" x14ac:dyDescent="0.35">
      <c r="A15">
        <f t="shared" ca="1" si="0"/>
        <v>29.458643556609431</v>
      </c>
      <c r="B15">
        <f t="shared" ca="1" si="1"/>
        <v>97.729367665821769</v>
      </c>
      <c r="C15">
        <f t="shared" ca="1" si="2"/>
        <v>11.441876816406857</v>
      </c>
    </row>
    <row r="16" spans="1:10" x14ac:dyDescent="0.35">
      <c r="A16">
        <f t="shared" ca="1" si="0"/>
        <v>19.197910275852919</v>
      </c>
      <c r="B16">
        <f t="shared" ca="1" si="1"/>
        <v>87.032918058223231</v>
      </c>
      <c r="C16">
        <f t="shared" ca="1" si="2"/>
        <v>65.842083423721235</v>
      </c>
    </row>
    <row r="17" spans="1:3" x14ac:dyDescent="0.35">
      <c r="A17">
        <f t="shared" ca="1" si="0"/>
        <v>31.620778250403689</v>
      </c>
      <c r="B17">
        <f t="shared" ca="1" si="1"/>
        <v>82.523212488356307</v>
      </c>
      <c r="C17">
        <f t="shared" ca="1" si="2"/>
        <v>49.970592034457809</v>
      </c>
    </row>
    <row r="18" spans="1:3" x14ac:dyDescent="0.35">
      <c r="A18">
        <f t="shared" ca="1" si="0"/>
        <v>19.204615877444752</v>
      </c>
      <c r="B18">
        <f t="shared" ca="1" si="1"/>
        <v>89.022283192348823</v>
      </c>
      <c r="C18">
        <f t="shared" ca="1" si="2"/>
        <v>55.839441495984254</v>
      </c>
    </row>
    <row r="19" spans="1:3" x14ac:dyDescent="0.35">
      <c r="A19">
        <f t="shared" ca="1" si="0"/>
        <v>5.4839489537019883</v>
      </c>
      <c r="B19">
        <f t="shared" ca="1" si="1"/>
        <v>33.219520577495572</v>
      </c>
      <c r="C19">
        <f t="shared" ca="1" si="2"/>
        <v>12.374209683125635</v>
      </c>
    </row>
    <row r="20" spans="1:3" x14ac:dyDescent="0.35">
      <c r="A20">
        <f t="shared" ca="1" si="0"/>
        <v>10.8722600992597</v>
      </c>
      <c r="B20">
        <f t="shared" ca="1" si="1"/>
        <v>69.068013744344839</v>
      </c>
      <c r="C20">
        <f t="shared" ca="1" si="2"/>
        <v>58.593144538609899</v>
      </c>
    </row>
    <row r="21" spans="1:3" x14ac:dyDescent="0.35">
      <c r="A21">
        <f t="shared" ca="1" si="0"/>
        <v>24.635017954204059</v>
      </c>
      <c r="B21">
        <f t="shared" ca="1" si="1"/>
        <v>79.791881546749778</v>
      </c>
      <c r="C21">
        <f t="shared" ca="1" si="2"/>
        <v>76.051423539296934</v>
      </c>
    </row>
    <row r="22" spans="1:3" x14ac:dyDescent="0.35">
      <c r="A22">
        <f t="shared" ca="1" si="0"/>
        <v>23.685938916706874</v>
      </c>
      <c r="B22">
        <f t="shared" ca="1" si="1"/>
        <v>107.78326451021796</v>
      </c>
      <c r="C22">
        <f t="shared" ca="1" si="2"/>
        <v>1.5441064741027033</v>
      </c>
    </row>
    <row r="23" spans="1:3" x14ac:dyDescent="0.35">
      <c r="A23">
        <f t="shared" ca="1" si="0"/>
        <v>18.386262179281914</v>
      </c>
      <c r="B23">
        <f t="shared" ca="1" si="1"/>
        <v>106.70696921346918</v>
      </c>
      <c r="C23">
        <f t="shared" ca="1" si="2"/>
        <v>2.3741947338928981</v>
      </c>
    </row>
    <row r="24" spans="1:3" x14ac:dyDescent="0.35">
      <c r="A24">
        <f t="shared" ca="1" si="0"/>
        <v>29.926555334975056</v>
      </c>
      <c r="B24">
        <f t="shared" ca="1" si="1"/>
        <v>91.00265868351282</v>
      </c>
      <c r="C24">
        <f t="shared" ca="1" si="2"/>
        <v>29.601827187563355</v>
      </c>
    </row>
    <row r="25" spans="1:3" x14ac:dyDescent="0.35">
      <c r="A25">
        <f t="shared" ca="1" si="0"/>
        <v>10.660670419793554</v>
      </c>
      <c r="B25">
        <f t="shared" ca="1" si="1"/>
        <v>35.150923999297881</v>
      </c>
      <c r="C25">
        <f t="shared" ca="1" si="2"/>
        <v>18.465568412947853</v>
      </c>
    </row>
    <row r="26" spans="1:3" x14ac:dyDescent="0.35">
      <c r="A26">
        <f t="shared" ca="1" si="0"/>
        <v>27.462560682618111</v>
      </c>
      <c r="B26">
        <f t="shared" ca="1" si="1"/>
        <v>40.921008551547914</v>
      </c>
      <c r="C26">
        <f t="shared" ca="1" si="2"/>
        <v>44.083280998645378</v>
      </c>
    </row>
    <row r="27" spans="1:3" x14ac:dyDescent="0.35">
      <c r="A27">
        <f t="shared" ca="1" si="0"/>
        <v>26.270001578490142</v>
      </c>
      <c r="B27">
        <f t="shared" ca="1" si="1"/>
        <v>71.392325941284938</v>
      </c>
      <c r="C27">
        <f t="shared" ca="1" si="2"/>
        <v>62.917346873207308</v>
      </c>
    </row>
    <row r="28" spans="1:3" x14ac:dyDescent="0.35">
      <c r="A28">
        <f t="shared" ca="1" si="0"/>
        <v>32.467508867747448</v>
      </c>
      <c r="B28">
        <f t="shared" ca="1" si="1"/>
        <v>70.717217830680752</v>
      </c>
      <c r="C28">
        <f t="shared" ca="1" si="2"/>
        <v>50.13484854159384</v>
      </c>
    </row>
    <row r="29" spans="1:3" x14ac:dyDescent="0.35">
      <c r="A29">
        <f t="shared" ca="1" si="0"/>
        <v>15.037756765245597</v>
      </c>
      <c r="B29">
        <f t="shared" ca="1" si="1"/>
        <v>90.324177873652403</v>
      </c>
      <c r="C29">
        <f t="shared" ca="1" si="2"/>
        <v>50.866812586513916</v>
      </c>
    </row>
    <row r="30" spans="1:3" x14ac:dyDescent="0.35">
      <c r="A30">
        <f t="shared" ca="1" si="0"/>
        <v>12.733613213466645</v>
      </c>
      <c r="B30">
        <f t="shared" ca="1" si="1"/>
        <v>50.412113043494344</v>
      </c>
      <c r="C30">
        <f t="shared" ca="1" si="2"/>
        <v>34.144559157058843</v>
      </c>
    </row>
    <row r="31" spans="1:3" x14ac:dyDescent="0.35">
      <c r="A31">
        <f t="shared" ca="1" si="0"/>
        <v>17.621849849479965</v>
      </c>
      <c r="B31">
        <f t="shared" ca="1" si="1"/>
        <v>37.79959154087269</v>
      </c>
      <c r="C31">
        <f t="shared" ca="1" si="2"/>
        <v>28.885368631700562</v>
      </c>
    </row>
    <row r="32" spans="1:3" x14ac:dyDescent="0.35">
      <c r="A32">
        <f t="shared" ca="1" si="0"/>
        <v>19.936169749556747</v>
      </c>
      <c r="B32">
        <f t="shared" ca="1" si="1"/>
        <v>44.905352525783428</v>
      </c>
      <c r="C32">
        <f t="shared" ca="1" si="2"/>
        <v>41.21337741770089</v>
      </c>
    </row>
    <row r="33" spans="1:3" x14ac:dyDescent="0.35">
      <c r="A33">
        <f t="shared" ca="1" si="0"/>
        <v>32.337870571305629</v>
      </c>
      <c r="B33">
        <f t="shared" ca="1" si="1"/>
        <v>98.190551666302468</v>
      </c>
      <c r="C33">
        <f t="shared" ca="1" si="2"/>
        <v>8.6609803376512371</v>
      </c>
    </row>
    <row r="34" spans="1:3" x14ac:dyDescent="0.35">
      <c r="A34">
        <f t="shared" ca="1" si="0"/>
        <v>21.520002626461753</v>
      </c>
      <c r="B34">
        <f t="shared" ca="1" si="1"/>
        <v>79.234775785255053</v>
      </c>
      <c r="C34">
        <f t="shared" ca="1" si="2"/>
        <v>83.945450040349314</v>
      </c>
    </row>
    <row r="35" spans="1:3" x14ac:dyDescent="0.35">
      <c r="A35">
        <f t="shared" ca="1" si="0"/>
        <v>21.44484762308862</v>
      </c>
      <c r="B35">
        <f t="shared" ca="1" si="1"/>
        <v>84.4967696315111</v>
      </c>
      <c r="C35">
        <f t="shared" ca="1" si="2"/>
        <v>73.288664189006568</v>
      </c>
    </row>
    <row r="36" spans="1:3" x14ac:dyDescent="0.35">
      <c r="A36">
        <f t="shared" ca="1" si="0"/>
        <v>7.4647164900657188</v>
      </c>
      <c r="B36">
        <f t="shared" ca="1" si="1"/>
        <v>76.180341089325012</v>
      </c>
      <c r="C36">
        <f t="shared" ca="1" si="2"/>
        <v>75.26184875335781</v>
      </c>
    </row>
    <row r="37" spans="1:3" x14ac:dyDescent="0.35">
      <c r="A37">
        <f t="shared" ca="1" si="0"/>
        <v>17.699600720391771</v>
      </c>
      <c r="B37">
        <f t="shared" ca="1" si="1"/>
        <v>56.799935965391974</v>
      </c>
      <c r="C37">
        <f t="shared" ca="1" si="2"/>
        <v>42.040311141186393</v>
      </c>
    </row>
    <row r="38" spans="1:3" x14ac:dyDescent="0.35">
      <c r="A38">
        <f t="shared" ca="1" si="0"/>
        <v>29.444684015971919</v>
      </c>
      <c r="B38">
        <f t="shared" ca="1" si="1"/>
        <v>87.72507523135846</v>
      </c>
      <c r="C38">
        <f t="shared" ca="1" si="2"/>
        <v>41.992681037494243</v>
      </c>
    </row>
    <row r="39" spans="1:3" x14ac:dyDescent="0.35">
      <c r="A39">
        <f t="shared" ca="1" si="0"/>
        <v>20.872676564171861</v>
      </c>
      <c r="B39">
        <f t="shared" ca="1" si="1"/>
        <v>74.774238539447538</v>
      </c>
      <c r="C39">
        <f t="shared" ca="1" si="2"/>
        <v>80.127837517125883</v>
      </c>
    </row>
    <row r="40" spans="1:3" x14ac:dyDescent="0.35">
      <c r="A40">
        <f t="shared" ca="1" si="0"/>
        <v>32.422536800586627</v>
      </c>
      <c r="B40">
        <f t="shared" ca="1" si="1"/>
        <v>45.076092688589966</v>
      </c>
      <c r="C40">
        <f t="shared" ca="1" si="2"/>
        <v>54.397729306316968</v>
      </c>
    </row>
    <row r="41" spans="1:3" x14ac:dyDescent="0.35">
      <c r="A41">
        <f t="shared" ca="1" si="0"/>
        <v>13.478146459896447</v>
      </c>
      <c r="B41">
        <f t="shared" ca="1" si="1"/>
        <v>90.512231948179789</v>
      </c>
      <c r="C41">
        <f t="shared" ca="1" si="2"/>
        <v>49.556298683498824</v>
      </c>
    </row>
    <row r="42" spans="1:3" x14ac:dyDescent="0.35">
      <c r="A42">
        <f t="shared" ca="1" si="0"/>
        <v>15.76141021693566</v>
      </c>
      <c r="B42">
        <f t="shared" ca="1" si="1"/>
        <v>65.024438150287082</v>
      </c>
      <c r="C42">
        <f t="shared" ca="1" si="2"/>
        <v>50.368818802568875</v>
      </c>
    </row>
    <row r="43" spans="1:3" x14ac:dyDescent="0.35">
      <c r="A43">
        <f t="shared" ca="1" si="0"/>
        <v>10.151956854907564</v>
      </c>
      <c r="B43">
        <f t="shared" ca="1" si="1"/>
        <v>42.46671334423845</v>
      </c>
      <c r="C43">
        <f t="shared" ca="1" si="2"/>
        <v>26.003202335816663</v>
      </c>
    </row>
    <row r="44" spans="1:3" x14ac:dyDescent="0.35">
      <c r="A44">
        <f t="shared" ca="1" si="0"/>
        <v>26.892870234349662</v>
      </c>
      <c r="B44">
        <f t="shared" ca="1" si="1"/>
        <v>83.985176976094237</v>
      </c>
      <c r="C44">
        <f t="shared" ca="1" si="2"/>
        <v>61.352025781994854</v>
      </c>
    </row>
    <row r="45" spans="1:3" x14ac:dyDescent="0.35">
      <c r="A45">
        <f t="shared" ca="1" si="0"/>
        <v>32.688892937375613</v>
      </c>
      <c r="B45">
        <f t="shared" ca="1" si="1"/>
        <v>74.941565922431067</v>
      </c>
      <c r="C45">
        <f t="shared" ca="1" si="2"/>
        <v>51.742766005717542</v>
      </c>
    </row>
    <row r="46" spans="1:3" x14ac:dyDescent="0.35">
      <c r="A46">
        <f t="shared" ca="1" si="0"/>
        <v>32.835614949380961</v>
      </c>
      <c r="B46">
        <f t="shared" ca="1" si="1"/>
        <v>79.255092303841082</v>
      </c>
      <c r="C46">
        <f t="shared" ca="1" si="2"/>
        <v>50.399603452337303</v>
      </c>
    </row>
    <row r="47" spans="1:3" x14ac:dyDescent="0.35">
      <c r="A47">
        <f t="shared" ca="1" si="0"/>
        <v>25.230071106904838</v>
      </c>
      <c r="B47">
        <f t="shared" ca="1" si="1"/>
        <v>107.43999806169609</v>
      </c>
      <c r="C47">
        <f t="shared" ca="1" si="2"/>
        <v>1.5939601718686931</v>
      </c>
    </row>
    <row r="48" spans="1:3" x14ac:dyDescent="0.35">
      <c r="A48">
        <f t="shared" ca="1" si="0"/>
        <v>23.082702951936078</v>
      </c>
      <c r="B48">
        <f t="shared" ca="1" si="1"/>
        <v>78.459434188647492</v>
      </c>
      <c r="C48">
        <f t="shared" ca="1" si="2"/>
        <v>80.536023899100712</v>
      </c>
    </row>
    <row r="49" spans="1:3" x14ac:dyDescent="0.35">
      <c r="A49">
        <f t="shared" ca="1" si="0"/>
        <v>18.767515621483184</v>
      </c>
      <c r="B49">
        <f t="shared" ca="1" si="1"/>
        <v>50.077021812653669</v>
      </c>
      <c r="C49">
        <f t="shared" ca="1" si="2"/>
        <v>42.768934890123013</v>
      </c>
    </row>
    <row r="50" spans="1:3" x14ac:dyDescent="0.35">
      <c r="A50">
        <f t="shared" ca="1" si="0"/>
        <v>32.042793762608063</v>
      </c>
      <c r="B50">
        <f t="shared" ca="1" si="1"/>
        <v>96.287006991390584</v>
      </c>
      <c r="C50">
        <f t="shared" ca="1" si="2"/>
        <v>12.320626500046464</v>
      </c>
    </row>
    <row r="51" spans="1:3" x14ac:dyDescent="0.35">
      <c r="A51">
        <f t="shared" ca="1" si="0"/>
        <v>18.392232492968301</v>
      </c>
      <c r="B51">
        <f t="shared" ca="1" si="1"/>
        <v>80.036486605040864</v>
      </c>
      <c r="C51">
        <f t="shared" ca="1" si="2"/>
        <v>88.415427992759263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211F6-0EFA-442C-B5E0-71226A5FEB2B}">
  <dimension ref="A1:Z15"/>
  <sheetViews>
    <sheetView tabSelected="1" workbookViewId="0">
      <selection activeCell="F4" sqref="F4"/>
    </sheetView>
  </sheetViews>
  <sheetFormatPr defaultRowHeight="14.5" x14ac:dyDescent="0.35"/>
  <cols>
    <col min="1" max="1" width="11.1796875" bestFit="1" customWidth="1"/>
    <col min="2" max="2" width="13.81640625" bestFit="1" customWidth="1"/>
    <col min="3" max="3" width="11.90625" bestFit="1" customWidth="1"/>
    <col min="4" max="4" width="17.08984375" bestFit="1" customWidth="1"/>
    <col min="5" max="5" width="9.1796875" bestFit="1" customWidth="1"/>
    <col min="6" max="6" width="13.08984375" bestFit="1" customWidth="1"/>
    <col min="7" max="7" width="9.81640625" bestFit="1" customWidth="1"/>
  </cols>
  <sheetData>
    <row r="1" spans="1:26" x14ac:dyDescent="0.35">
      <c r="A1" t="s">
        <v>11</v>
      </c>
      <c r="B1" t="s">
        <v>16</v>
      </c>
      <c r="C1" t="s">
        <v>17</v>
      </c>
      <c r="D1" t="s">
        <v>18</v>
      </c>
      <c r="E1" t="s">
        <v>1</v>
      </c>
    </row>
    <row r="2" spans="1:26" x14ac:dyDescent="0.35">
      <c r="A2" s="4">
        <f ca="1">RAND()*30+5</f>
        <v>7.7152113353758098</v>
      </c>
      <c r="B2" s="4">
        <f ca="1">RAND()*100+30</f>
        <v>84.519461258369773</v>
      </c>
      <c r="C2" s="4">
        <f ca="1">RAND()*50+1</f>
        <v>19.141546295982014</v>
      </c>
      <c r="D2" s="4">
        <f ca="1">RAND()*100+5</f>
        <v>12.749557995946921</v>
      </c>
      <c r="E2" s="5">
        <f ca="1">60*EXP(-((A2-40)^2/(2*25^2)+(B2-50)^2/(2*15^2)+(C2-5)^2/(2*20^2)+(D2-20)^2/(2*25^2)))+85*EXP(-((A2-15)^2/(2*15^2)+(B2-80)^2/(2*10^2)+(C2-3)^2/(2*15^2)+(D2-50)^2/(2*25^2)))</f>
        <v>13.975549283101143</v>
      </c>
      <c r="F2" s="1" t="s">
        <v>6</v>
      </c>
      <c r="G2" s="1" t="s">
        <v>20</v>
      </c>
    </row>
    <row r="3" spans="1:26" x14ac:dyDescent="0.35">
      <c r="A3" s="4">
        <f t="shared" ref="A3:A5" ca="1" si="0">RAND()*30+5</f>
        <v>10.926301761880394</v>
      </c>
      <c r="B3" s="4">
        <f t="shared" ref="B3:B6" ca="1" si="1">RAND()*100+30</f>
        <v>76.041580295891066</v>
      </c>
      <c r="C3" s="4">
        <f t="shared" ref="C3:C6" ca="1" si="2">RAND()*50+1</f>
        <v>10.924818265406794</v>
      </c>
      <c r="D3" s="4">
        <f t="shared" ref="D3:D6" ca="1" si="3">RAND()*100+5</f>
        <v>77.346347169192654</v>
      </c>
      <c r="E3" s="5">
        <f t="shared" ref="E3:E7" ca="1" si="4">60*EXP(-((A3-40)^2/(2*25^2)+(B3-50)^2/(2*15^2)+(C3-5)^2/(2*20^2)+(D3-20)^2/(2*25^2)))+85*EXP(-((A3-15)^2/(2*15^2)+(B3-80)^2/(2*10^2)+(C3-3)^2/(2*15^2)+(D3-50)^2/(2*25^2)))</f>
        <v>36.685833934471034</v>
      </c>
      <c r="F3" s="2" t="s">
        <v>19</v>
      </c>
      <c r="G3" s="2" t="s">
        <v>21</v>
      </c>
    </row>
    <row r="4" spans="1:26" x14ac:dyDescent="0.35">
      <c r="A4" s="4">
        <f t="shared" ca="1" si="0"/>
        <v>11.176171392452151</v>
      </c>
      <c r="B4" s="4">
        <f t="shared" ca="1" si="1"/>
        <v>86.551405209710794</v>
      </c>
      <c r="C4" s="4">
        <f t="shared" ca="1" si="2"/>
        <v>45.773588603940233</v>
      </c>
      <c r="D4" s="4">
        <f t="shared" ca="1" si="3"/>
        <v>73.74491291187627</v>
      </c>
      <c r="E4" s="5">
        <f t="shared" ca="1" si="4"/>
        <v>0.74493283536815458</v>
      </c>
    </row>
    <row r="5" spans="1:26" x14ac:dyDescent="0.35">
      <c r="A5" s="4">
        <f t="shared" ca="1" si="0"/>
        <v>8.082289816924785</v>
      </c>
      <c r="B5" s="4">
        <f t="shared" ca="1" si="1"/>
        <v>127.48064452785449</v>
      </c>
      <c r="C5" s="4">
        <f t="shared" ca="1" si="2"/>
        <v>21.932578467716013</v>
      </c>
      <c r="D5" s="4">
        <f t="shared" ca="1" si="3"/>
        <v>53.693432614455745</v>
      </c>
      <c r="E5" s="5">
        <f t="shared" ca="1" si="4"/>
        <v>4.4571419873199505E-4</v>
      </c>
    </row>
    <row r="6" spans="1:26" x14ac:dyDescent="0.35">
      <c r="A6" s="4">
        <f ca="1">RAND()*30+5</f>
        <v>15.327084392288459</v>
      </c>
      <c r="B6" s="4">
        <f t="shared" ca="1" si="1"/>
        <v>54.366177240440969</v>
      </c>
      <c r="C6" s="4">
        <f t="shared" ca="1" si="2"/>
        <v>21.768165698657654</v>
      </c>
      <c r="D6" s="4">
        <f t="shared" ca="1" si="3"/>
        <v>88.116694175803374</v>
      </c>
      <c r="E6" s="5">
        <f t="shared" ca="1" si="4"/>
        <v>1.0622047265762808</v>
      </c>
    </row>
    <row r="7" spans="1:26" x14ac:dyDescent="0.35">
      <c r="A7" s="6">
        <v>10</v>
      </c>
      <c r="B7" s="6">
        <v>80</v>
      </c>
      <c r="C7" s="6">
        <v>5</v>
      </c>
      <c r="D7" s="6">
        <v>50</v>
      </c>
      <c r="E7" s="7">
        <f t="shared" si="4"/>
        <v>81.618878208800339</v>
      </c>
    </row>
    <row r="8" spans="1:26" x14ac:dyDescent="0.35">
      <c r="A8" s="6">
        <v>10</v>
      </c>
      <c r="B8" s="6">
        <v>90</v>
      </c>
      <c r="C8" s="6">
        <v>2</v>
      </c>
      <c r="D8" s="6">
        <v>50</v>
      </c>
      <c r="E8" s="7">
        <f t="shared" ref="E8:E9" si="5">60*EXP(-((A8-40)^2/(2*25^2)+(B8-50)^2/(2*15^2)+(C8-5)^2/(2*20^2)+(D8-20)^2/(2*25^2)))+85*EXP(-((A8-15)^2/(2*15^2)+(B8-80)^2/(2*10^2)+(C8-3)^2/(2*15^2)+(D8-50)^2/(2*25^2)))</f>
        <v>49.062320277322577</v>
      </c>
    </row>
    <row r="9" spans="1:26" x14ac:dyDescent="0.35">
      <c r="A9" s="6">
        <v>10</v>
      </c>
      <c r="B9" s="6">
        <v>90</v>
      </c>
      <c r="C9" s="6">
        <v>4</v>
      </c>
      <c r="D9" s="6">
        <v>50</v>
      </c>
      <c r="E9" s="7">
        <f t="shared" si="5"/>
        <v>49.066355769479763</v>
      </c>
    </row>
    <row r="10" spans="1:26" x14ac:dyDescent="0.35">
      <c r="A10" s="6">
        <v>15</v>
      </c>
      <c r="B10" s="6">
        <v>80</v>
      </c>
      <c r="C10" s="6">
        <v>3</v>
      </c>
      <c r="D10" s="6">
        <v>50</v>
      </c>
      <c r="E10" s="7">
        <f t="shared" ref="E10:E11" si="6">60*EXP(-((A10-40)^2/(2*25^2)+(B10-50)^2/(2*15^2)+(C10-5)^2/(2*20^2)+(D10-20)^2/(2*25^2)))+85*EXP(-((A10-15)^2/(2*15^2)+(B10-80)^2/(2*10^2)+(C10-3)^2/(2*15^2)+(D10-50)^2/(2*25^2)))</f>
        <v>87.385346894573274</v>
      </c>
    </row>
    <row r="11" spans="1:26" x14ac:dyDescent="0.35">
      <c r="A11" s="6">
        <v>40</v>
      </c>
      <c r="B11" s="6">
        <v>50</v>
      </c>
      <c r="C11" s="6">
        <v>5</v>
      </c>
      <c r="D11" s="6">
        <v>20</v>
      </c>
      <c r="E11" s="7">
        <f t="shared" si="6"/>
        <v>60.113593780730156</v>
      </c>
    </row>
    <row r="14" spans="1:26" x14ac:dyDescent="0.35">
      <c r="A14" t="s">
        <v>22</v>
      </c>
      <c r="W14" t="s">
        <v>24</v>
      </c>
      <c r="Z14" t="s">
        <v>26</v>
      </c>
    </row>
    <row r="15" spans="1:26" x14ac:dyDescent="0.35">
      <c r="A15" t="s">
        <v>23</v>
      </c>
      <c r="W15" t="s">
        <v>25</v>
      </c>
      <c r="Z1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Goldstein-Price</vt:lpstr>
      <vt:lpstr>Double Gauss Bell</vt:lpstr>
      <vt:lpstr>several Gauss Bells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Giancarlo Pascali</dc:creator>
  <cp:lastModifiedBy>Giancarlo Pascali</cp:lastModifiedBy>
  <dcterms:created xsi:type="dcterms:W3CDTF">2023-02-09T08:11:17Z</dcterms:created>
  <dcterms:modified xsi:type="dcterms:W3CDTF">2026-03-11T01:13:12Z</dcterms:modified>
</cp:coreProperties>
</file>